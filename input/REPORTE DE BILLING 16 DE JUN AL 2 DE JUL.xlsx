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marissa_morales_dhl_com/Documents/Documentos/SAMSUNG/FACTURACION/"/>
    </mc:Choice>
  </mc:AlternateContent>
  <xr:revisionPtr revIDLastSave="0" documentId="8_{6AC6CBDC-8110-4DE3-8733-3AD55E2AD0CA}" xr6:coauthVersionLast="47" xr6:coauthVersionMax="47" xr10:uidLastSave="{00000000-0000-0000-0000-000000000000}"/>
  <bookViews>
    <workbookView xWindow="28680" yWindow="-120" windowWidth="29040" windowHeight="15720" xr2:uid="{08ECC2EF-B6F3-460F-9CF2-787AB2698647}"/>
  </bookViews>
  <sheets>
    <sheet name="Sheet1" sheetId="1" r:id="rId1"/>
  </sheets>
  <definedNames>
    <definedName name="_xlnm._FilterDatabase" localSheetId="0" hidden="1">Sheet1!$B$2:$W$84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84" i="1" l="1"/>
  <c r="T84" i="1"/>
  <c r="U83" i="1"/>
  <c r="T83" i="1"/>
  <c r="U82" i="1"/>
  <c r="T82" i="1"/>
  <c r="U81" i="1"/>
  <c r="T81" i="1"/>
  <c r="Q84" i="1"/>
  <c r="Q83" i="1"/>
  <c r="Q82" i="1"/>
  <c r="Q81" i="1"/>
  <c r="P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Q80" i="1"/>
  <c r="Q79" i="1"/>
  <c r="Q78" i="1"/>
  <c r="P78" i="1"/>
  <c r="Q77" i="1"/>
  <c r="P77" i="1"/>
  <c r="Q76" i="1"/>
  <c r="P76" i="1"/>
  <c r="Q75" i="1"/>
  <c r="Q74" i="1"/>
  <c r="P74" i="1"/>
  <c r="Q73" i="1"/>
  <c r="P73" i="1"/>
  <c r="Q72" i="1"/>
  <c r="P72" i="1"/>
  <c r="Q71" i="1"/>
  <c r="W71" i="1" s="1"/>
  <c r="Q70" i="1"/>
  <c r="P70" i="1"/>
  <c r="Q69" i="1"/>
  <c r="P69" i="1"/>
  <c r="Q68" i="1"/>
  <c r="P68" i="1"/>
  <c r="W68" i="1" s="1"/>
  <c r="Q67" i="1"/>
  <c r="U66" i="1"/>
  <c r="T66" i="1"/>
  <c r="Q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V30" i="1"/>
  <c r="U30" i="1"/>
  <c r="T30" i="1"/>
  <c r="Q65" i="1"/>
  <c r="Q64" i="1"/>
  <c r="Q63" i="1"/>
  <c r="Q62" i="1"/>
  <c r="Q61" i="1"/>
  <c r="Q60" i="1"/>
  <c r="Q59" i="1"/>
  <c r="Q58" i="1"/>
  <c r="P58" i="1"/>
  <c r="Q57" i="1"/>
  <c r="P57" i="1"/>
  <c r="Q56" i="1"/>
  <c r="P56" i="1"/>
  <c r="Q55" i="1"/>
  <c r="Q54" i="1"/>
  <c r="Q53" i="1"/>
  <c r="W53" i="1" s="1"/>
  <c r="Q52" i="1"/>
  <c r="Q51" i="1"/>
  <c r="Q50" i="1"/>
  <c r="P50" i="1"/>
  <c r="Q49" i="1"/>
  <c r="P49" i="1"/>
  <c r="Q48" i="1"/>
  <c r="P48" i="1"/>
  <c r="Q47" i="1"/>
  <c r="W47" i="1" s="1"/>
  <c r="Q46" i="1"/>
  <c r="Q45" i="1"/>
  <c r="Q44" i="1"/>
  <c r="Q43" i="1"/>
  <c r="P43" i="1"/>
  <c r="Q42" i="1"/>
  <c r="P42" i="1"/>
  <c r="Q41" i="1"/>
  <c r="P41" i="1"/>
  <c r="Q40" i="1"/>
  <c r="P40" i="1"/>
  <c r="Q39" i="1"/>
  <c r="Q38" i="1"/>
  <c r="Q37" i="1"/>
  <c r="Q36" i="1"/>
  <c r="Q35" i="1"/>
  <c r="Q34" i="1"/>
  <c r="P34" i="1"/>
  <c r="Q33" i="1"/>
  <c r="P33" i="1"/>
  <c r="Q32" i="1"/>
  <c r="P32" i="1"/>
  <c r="Q31" i="1"/>
  <c r="P31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V14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Q29" i="1"/>
  <c r="P29" i="1"/>
  <c r="Q28" i="1"/>
  <c r="Q27" i="1"/>
  <c r="Q26" i="1"/>
  <c r="P26" i="1"/>
  <c r="W26" i="1" s="1"/>
  <c r="Q25" i="1"/>
  <c r="P25" i="1"/>
  <c r="Q24" i="1"/>
  <c r="Q23" i="1"/>
  <c r="Q22" i="1"/>
  <c r="Q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Q11" i="1"/>
  <c r="P11" i="1"/>
  <c r="Q10" i="1"/>
  <c r="P10" i="1"/>
  <c r="Q9" i="1"/>
  <c r="Q8" i="1"/>
  <c r="Q7" i="1"/>
  <c r="P7" i="1"/>
  <c r="Q6" i="1"/>
  <c r="P6" i="1"/>
  <c r="Q5" i="1"/>
  <c r="U4" i="1"/>
  <c r="T4" i="1"/>
  <c r="Q4" i="1"/>
  <c r="P4" i="1"/>
  <c r="V3" i="1"/>
  <c r="U3" i="1"/>
  <c r="T3" i="1"/>
  <c r="Q3" i="1"/>
  <c r="P3" i="1"/>
  <c r="W8" i="1" l="1"/>
  <c r="W38" i="1"/>
  <c r="W46" i="1"/>
  <c r="W67" i="1"/>
  <c r="W31" i="1"/>
  <c r="W56" i="1"/>
  <c r="W43" i="1"/>
  <c r="W12" i="1"/>
  <c r="W48" i="1"/>
  <c r="W65" i="1"/>
  <c r="W22" i="1"/>
  <c r="W63" i="1"/>
  <c r="W70" i="1"/>
  <c r="W77" i="1"/>
  <c r="W78" i="1"/>
  <c r="W59" i="1"/>
  <c r="W83" i="1"/>
  <c r="W75" i="1"/>
  <c r="W49" i="1"/>
  <c r="W57" i="1"/>
  <c r="W30" i="1"/>
  <c r="W84" i="1"/>
  <c r="W17" i="1"/>
  <c r="W35" i="1"/>
  <c r="W18" i="1"/>
  <c r="W33" i="1"/>
  <c r="W58" i="1"/>
  <c r="W54" i="1"/>
  <c r="W39" i="1"/>
  <c r="W11" i="1"/>
  <c r="W6" i="1"/>
  <c r="W42" i="1"/>
  <c r="W50" i="1"/>
  <c r="W66" i="1"/>
  <c r="W29" i="1"/>
  <c r="W55" i="1"/>
  <c r="W62" i="1"/>
  <c r="W15" i="1"/>
  <c r="W21" i="1"/>
  <c r="W79" i="1"/>
  <c r="W51" i="1"/>
  <c r="W32" i="1"/>
  <c r="W16" i="1"/>
  <c r="W28" i="1"/>
  <c r="W36" i="1"/>
  <c r="W44" i="1"/>
  <c r="W81" i="1"/>
  <c r="W34" i="1"/>
  <c r="W60" i="1"/>
  <c r="W72" i="1"/>
  <c r="W9" i="1"/>
  <c r="W61" i="1"/>
  <c r="W74" i="1"/>
  <c r="W4" i="1"/>
  <c r="W10" i="1"/>
  <c r="W25" i="1"/>
  <c r="W37" i="1"/>
  <c r="W45" i="1"/>
  <c r="W69" i="1"/>
  <c r="W76" i="1"/>
  <c r="W52" i="1"/>
  <c r="W23" i="1"/>
  <c r="W64" i="1"/>
  <c r="W82" i="1"/>
  <c r="W24" i="1"/>
  <c r="W40" i="1"/>
  <c r="W5" i="1"/>
  <c r="W13" i="1"/>
  <c r="W19" i="1"/>
  <c r="W27" i="1"/>
  <c r="W14" i="1"/>
  <c r="W41" i="1"/>
  <c r="W3" i="1"/>
  <c r="W7" i="1"/>
  <c r="W20" i="1"/>
  <c r="W73" i="1"/>
  <c r="W80" i="1"/>
</calcChain>
</file>

<file path=xl/sharedStrings.xml><?xml version="1.0" encoding="utf-8"?>
<sst xmlns="http://schemas.openxmlformats.org/spreadsheetml/2006/main" count="678" uniqueCount="178">
  <si>
    <t>AWB</t>
  </si>
  <si>
    <t>POD</t>
  </si>
  <si>
    <t>CARRIER NAME</t>
  </si>
  <si>
    <t>FLIGHT TYPE</t>
  </si>
  <si>
    <t>HAWB</t>
  </si>
  <si>
    <t>PICK UP</t>
  </si>
  <si>
    <t>TRUCK N#</t>
  </si>
  <si>
    <t>FECHA DE SALIDA</t>
  </si>
  <si>
    <t>FECHA DE ARRIBO</t>
  </si>
  <si>
    <t>INCOTERM</t>
  </si>
  <si>
    <t>CARGO TYPE</t>
  </si>
  <si>
    <t>GW</t>
  </si>
  <si>
    <t>Volumen</t>
  </si>
  <si>
    <t>CW</t>
  </si>
  <si>
    <t>AIRFREIGHT (FRT)</t>
  </si>
  <si>
    <t>Fuel surcharge (MFSC)</t>
  </si>
  <si>
    <t>Handling charge (per HAWB) 0THF</t>
  </si>
  <si>
    <t>Recargo por mercancia peligrosa (RAA)</t>
  </si>
  <si>
    <t>Pick up (OPUP)</t>
  </si>
  <si>
    <t>AIT 
(per KG CWT)</t>
  </si>
  <si>
    <t>Original Carrier Fee (OTHC) (OCUT)</t>
  </si>
  <si>
    <t xml:space="preserve">TOTAL </t>
  </si>
  <si>
    <t>406-06772010 / 729-94678345</t>
  </si>
  <si>
    <t>MVD</t>
  </si>
  <si>
    <t>UPS</t>
  </si>
  <si>
    <t>CAO</t>
  </si>
  <si>
    <t xml:space="preserve">I879513 </t>
  </si>
  <si>
    <t>CIF</t>
  </si>
  <si>
    <t>GCR</t>
  </si>
  <si>
    <t>202-31647291</t>
  </si>
  <si>
    <t>GUA</t>
  </si>
  <si>
    <t>AVIANCA</t>
  </si>
  <si>
    <t xml:space="preserve">J158916 </t>
  </si>
  <si>
    <t>992-10748500</t>
  </si>
  <si>
    <t>BOG</t>
  </si>
  <si>
    <t>DHL</t>
  </si>
  <si>
    <t xml:space="preserve">J178695 </t>
  </si>
  <si>
    <t>992-10748496</t>
  </si>
  <si>
    <t xml:space="preserve">J178684 </t>
  </si>
  <si>
    <t xml:space="preserve">J322038 </t>
  </si>
  <si>
    <t xml:space="preserve">J322024 </t>
  </si>
  <si>
    <t xml:space="preserve">J178676 </t>
  </si>
  <si>
    <t>DGR</t>
  </si>
  <si>
    <t>230-68184130</t>
  </si>
  <si>
    <t>GRU</t>
  </si>
  <si>
    <t>COPA</t>
  </si>
  <si>
    <t>PAX</t>
  </si>
  <si>
    <t xml:space="preserve">J367377 </t>
  </si>
  <si>
    <t xml:space="preserve">J367365 </t>
  </si>
  <si>
    <t>230-68184185</t>
  </si>
  <si>
    <t>SCL</t>
  </si>
  <si>
    <t>J367021</t>
  </si>
  <si>
    <t>230-68183371</t>
  </si>
  <si>
    <t>J367167</t>
  </si>
  <si>
    <t>230-68184336</t>
  </si>
  <si>
    <t>UIO</t>
  </si>
  <si>
    <t xml:space="preserve">J367212 </t>
  </si>
  <si>
    <t xml:space="preserve">J367171 </t>
  </si>
  <si>
    <t>202-31647453</t>
  </si>
  <si>
    <t xml:space="preserve">J367016 </t>
  </si>
  <si>
    <t>230-68184340</t>
  </si>
  <si>
    <t>J367262</t>
  </si>
  <si>
    <t>230-68184351</t>
  </si>
  <si>
    <t xml:space="preserve">J367351 </t>
  </si>
  <si>
    <t>992-10748824</t>
  </si>
  <si>
    <t>VCP</t>
  </si>
  <si>
    <t>CAO DGR</t>
  </si>
  <si>
    <t xml:space="preserve">J367366 </t>
  </si>
  <si>
    <t>230-68184373</t>
  </si>
  <si>
    <t>SAL</t>
  </si>
  <si>
    <t xml:space="preserve">J367082 </t>
  </si>
  <si>
    <t>992-10748931</t>
  </si>
  <si>
    <t>J178692</t>
  </si>
  <si>
    <t>J367309</t>
  </si>
  <si>
    <t xml:space="preserve">J178673 </t>
  </si>
  <si>
    <t xml:space="preserve">J367319 </t>
  </si>
  <si>
    <t>230-68184686</t>
  </si>
  <si>
    <t xml:space="preserve">J367079 </t>
  </si>
  <si>
    <t>230-68184432</t>
  </si>
  <si>
    <t xml:space="preserve">J367376 </t>
  </si>
  <si>
    <t>J367379</t>
  </si>
  <si>
    <t>230-68184513</t>
  </si>
  <si>
    <t xml:space="preserve">J367033 </t>
  </si>
  <si>
    <t>230-68184690</t>
  </si>
  <si>
    <t xml:space="preserve">J367161 </t>
  </si>
  <si>
    <t>810-42902856</t>
  </si>
  <si>
    <t>SLU</t>
  </si>
  <si>
    <t>AMERIJET</t>
  </si>
  <si>
    <t>230-68183205</t>
  </si>
  <si>
    <t xml:space="preserve">J367164 </t>
  </si>
  <si>
    <t>230-68184841</t>
  </si>
  <si>
    <t xml:space="preserve">J367354 </t>
  </si>
  <si>
    <t>992-10749056</t>
  </si>
  <si>
    <t xml:space="preserve">J367359 </t>
  </si>
  <si>
    <t>230-68184830</t>
  </si>
  <si>
    <t>J367031</t>
  </si>
  <si>
    <t>992-10749045</t>
  </si>
  <si>
    <t xml:space="preserve">J367014 </t>
  </si>
  <si>
    <t>992-10749034</t>
  </si>
  <si>
    <t xml:space="preserve">J367299 </t>
  </si>
  <si>
    <t>992-10749023</t>
  </si>
  <si>
    <t>J367302</t>
  </si>
  <si>
    <t xml:space="preserve">J367316 </t>
  </si>
  <si>
    <t xml:space="preserve">J322027 </t>
  </si>
  <si>
    <t>230-68184491</t>
  </si>
  <si>
    <t xml:space="preserve">J367158 </t>
  </si>
  <si>
    <t>230-68184955</t>
  </si>
  <si>
    <t xml:space="preserve">J367364 </t>
  </si>
  <si>
    <t>045-20183925</t>
  </si>
  <si>
    <t>LATAM</t>
  </si>
  <si>
    <t xml:space="preserve">J367361 </t>
  </si>
  <si>
    <t>992-10749152</t>
  </si>
  <si>
    <t xml:space="preserve">J367380 </t>
  </si>
  <si>
    <t xml:space="preserve">J367029 </t>
  </si>
  <si>
    <t>202-31650776</t>
  </si>
  <si>
    <t>J367318</t>
  </si>
  <si>
    <t xml:space="preserve">J367307 </t>
  </si>
  <si>
    <t xml:space="preserve">230- 68185095 </t>
  </si>
  <si>
    <t xml:space="preserve">J367030 </t>
  </si>
  <si>
    <t xml:space="preserve">230- 68185110 </t>
  </si>
  <si>
    <t xml:space="preserve">J367374 </t>
  </si>
  <si>
    <r>
      <t xml:space="preserve">992- </t>
    </r>
    <r>
      <rPr>
        <sz val="11"/>
        <color rgb="FF000000"/>
        <rFont val="Calibri"/>
        <family val="2"/>
      </rPr>
      <t xml:space="preserve">10749340 </t>
    </r>
  </si>
  <si>
    <t>J367355</t>
  </si>
  <si>
    <t xml:space="preserve">230-68183452 </t>
  </si>
  <si>
    <t>J367159</t>
  </si>
  <si>
    <t xml:space="preserve">992-10749336 </t>
  </si>
  <si>
    <t xml:space="preserve">J367315 </t>
  </si>
  <si>
    <t xml:space="preserve">992-10749325 </t>
  </si>
  <si>
    <t xml:space="preserve">J367327 </t>
  </si>
  <si>
    <t>J367305</t>
  </si>
  <si>
    <t xml:space="preserve">230-68185095 </t>
  </si>
  <si>
    <t xml:space="preserve">J367032 </t>
  </si>
  <si>
    <t xml:space="preserve">992- 10749675 </t>
  </si>
  <si>
    <t xml:space="preserve">J367023 </t>
  </si>
  <si>
    <t xml:space="preserve">230- 68184583 </t>
  </si>
  <si>
    <t xml:space="preserve">J367163 </t>
  </si>
  <si>
    <t>202-31650802</t>
  </si>
  <si>
    <t xml:space="preserve">J431349 </t>
  </si>
  <si>
    <t xml:space="preserve">J431336 </t>
  </si>
  <si>
    <t xml:space="preserve">992- 10749340 </t>
  </si>
  <si>
    <t xml:space="preserve">J431346 </t>
  </si>
  <si>
    <t xml:space="preserve">J367300 </t>
  </si>
  <si>
    <t xml:space="preserve">J367311 </t>
  </si>
  <si>
    <t>992-10750051</t>
  </si>
  <si>
    <t xml:space="preserve">J367306 </t>
  </si>
  <si>
    <t xml:space="preserve">J367317 </t>
  </si>
  <si>
    <t xml:space="preserve">J367322 </t>
  </si>
  <si>
    <t>992-10749896</t>
  </si>
  <si>
    <t xml:space="preserve">J367326 </t>
  </si>
  <si>
    <t xml:space="preserve">J367321 </t>
  </si>
  <si>
    <t>230-68184594</t>
  </si>
  <si>
    <t xml:space="preserve">J367162 </t>
  </si>
  <si>
    <t>230-68185471</t>
  </si>
  <si>
    <t xml:space="preserve">J367020 </t>
  </si>
  <si>
    <t>230-68185482</t>
  </si>
  <si>
    <t xml:space="preserve">J431330 </t>
  </si>
  <si>
    <t xml:space="preserve">J431332 </t>
  </si>
  <si>
    <t>992-10749863</t>
  </si>
  <si>
    <t xml:space="preserve">J431322 </t>
  </si>
  <si>
    <t>202-31650846</t>
  </si>
  <si>
    <t xml:space="preserve">J367278 </t>
  </si>
  <si>
    <t>992-10750040</t>
  </si>
  <si>
    <t xml:space="preserve">J367067 </t>
  </si>
  <si>
    <t>230-68185132</t>
  </si>
  <si>
    <t xml:space="preserve">J367160 </t>
  </si>
  <si>
    <t xml:space="preserve">J367019 </t>
  </si>
  <si>
    <t>230-68185574</t>
  </si>
  <si>
    <t xml:space="preserve">J431343 </t>
  </si>
  <si>
    <t xml:space="preserve">J431338 </t>
  </si>
  <si>
    <t xml:space="preserve">J367088 </t>
  </si>
  <si>
    <t xml:space="preserve">J367070 </t>
  </si>
  <si>
    <t xml:space="preserve">J367018 </t>
  </si>
  <si>
    <t>230-68185806</t>
  </si>
  <si>
    <t xml:space="preserve">J431331 </t>
  </si>
  <si>
    <t>992-10750143</t>
  </si>
  <si>
    <t xml:space="preserve">J367304 </t>
  </si>
  <si>
    <t>J367314</t>
  </si>
  <si>
    <t xml:space="preserve">J367323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</si>
</sst>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8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E7E6E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" fontId="6" fillId="3" borderId="0" xfId="1" applyNumberFormat="1" applyFont="1" applyFill="1" applyAlignment="1">
      <alignment horizontal="center" vertical="center" wrapText="1"/>
    </xf>
    <xf numFmtId="4" fontId="6" fillId="3" borderId="4" xfId="1" applyNumberFormat="1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>
      <alignment horizontal="center" vertical="center" wrapText="1"/>
    </xf>
    <xf numFmtId="165" fontId="6" fillId="3" borderId="5" xfId="1" applyNumberFormat="1" applyFont="1" applyFill="1" applyBorder="1" applyAlignment="1">
      <alignment horizontal="center" vertical="center" wrapText="1"/>
    </xf>
    <xf numFmtId="4" fontId="6" fillId="3" borderId="1" xfId="1" applyNumberFormat="1" applyFont="1" applyFill="1" applyBorder="1" applyAlignment="1">
      <alignment horizontal="center" vertical="center" wrapText="1"/>
    </xf>
    <xf numFmtId="2" fontId="6" fillId="3" borderId="1" xfId="1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4" borderId="0" xfId="0" applyNumberFormat="1" applyFont="1" applyFill="1" applyAlignment="1">
      <alignment horizontal="center"/>
    </xf>
    <xf numFmtId="16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 2" xfId="1" xr:uid="{3774A2D2-2482-44D3-8D0F-673A0DE04951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893-8763-486B-961E-3430CC74883A}">
  <dimension ref="B2:W84"/>
  <sheetViews>
    <sheetView tabSelected="1" workbookViewId="0">
      <selection activeCell="L14" sqref="L14"/>
    </sheetView>
  </sheetViews>
  <sheetFormatPr defaultRowHeight="14.4" x14ac:dyDescent="0.3"/>
  <cols>
    <col min="1" max="1" width="16.109375" customWidth="1"/>
    <col min="2" max="2" width="26.44140625" bestFit="1" customWidth="1"/>
  </cols>
  <sheetData>
    <row r="2" spans="2:23" ht="40.799999999999997" x14ac:dyDescent="0.3">
      <c r="B2" s="6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8" t="s">
        <v>5</v>
      </c>
      <c r="H2" s="9" t="s">
        <v>6</v>
      </c>
      <c r="I2" s="6" t="s">
        <v>7</v>
      </c>
      <c r="J2" s="7" t="s">
        <v>8</v>
      </c>
      <c r="K2" s="10" t="s">
        <v>9</v>
      </c>
      <c r="L2" s="10" t="s">
        <v>10</v>
      </c>
      <c r="M2" s="11" t="s">
        <v>11</v>
      </c>
      <c r="N2" s="12" t="s">
        <v>12</v>
      </c>
      <c r="O2" s="13" t="s">
        <v>13</v>
      </c>
      <c r="P2" s="14" t="s">
        <v>14</v>
      </c>
      <c r="Q2" s="14" t="s">
        <v>15</v>
      </c>
      <c r="R2" s="14" t="s">
        <v>16</v>
      </c>
      <c r="S2" s="15" t="s">
        <v>17</v>
      </c>
      <c r="T2" s="14" t="s">
        <v>18</v>
      </c>
      <c r="U2" s="15" t="s">
        <v>19</v>
      </c>
      <c r="V2" s="14" t="s">
        <v>20</v>
      </c>
      <c r="W2" s="16" t="s">
        <v>21</v>
      </c>
    </row>
    <row r="3" spans="2:23" x14ac:dyDescent="0.3">
      <c r="B3" s="17" t="s">
        <v>22</v>
      </c>
      <c r="C3" s="17" t="s">
        <v>23</v>
      </c>
      <c r="D3" s="17" t="s">
        <v>24</v>
      </c>
      <c r="E3" s="18" t="s">
        <v>25</v>
      </c>
      <c r="F3" s="18" t="s">
        <v>26</v>
      </c>
      <c r="G3" s="19">
        <v>46182</v>
      </c>
      <c r="H3" s="18" t="s">
        <v>26</v>
      </c>
      <c r="I3" s="20">
        <v>46183</v>
      </c>
      <c r="J3" s="19">
        <v>46187</v>
      </c>
      <c r="K3" s="18" t="s">
        <v>27</v>
      </c>
      <c r="L3" s="18" t="s">
        <v>28</v>
      </c>
      <c r="M3" s="18">
        <v>410.9</v>
      </c>
      <c r="N3" s="18">
        <v>3.2120000000000002</v>
      </c>
      <c r="O3" s="21">
        <v>535.5</v>
      </c>
      <c r="P3" s="22">
        <f>O3*4.37</f>
        <v>2340.1350000000002</v>
      </c>
      <c r="Q3" s="24">
        <f>O3*0.15</f>
        <v>80.325000000000003</v>
      </c>
      <c r="R3" s="23">
        <v>15</v>
      </c>
      <c r="S3" s="18"/>
      <c r="T3" s="24">
        <f>225/11</f>
        <v>20.454545454545453</v>
      </c>
      <c r="U3" s="25">
        <f t="shared" ref="U3:U66" si="0">0.03*N3</f>
        <v>9.6360000000000001E-2</v>
      </c>
      <c r="V3" s="18">
        <f>N3*0.05</f>
        <v>0.16060000000000002</v>
      </c>
      <c r="W3" s="24">
        <f>SUM(P3:V3)</f>
        <v>2456.1715054545457</v>
      </c>
    </row>
    <row r="4" spans="2:23" x14ac:dyDescent="0.3">
      <c r="B4" s="17" t="s">
        <v>29</v>
      </c>
      <c r="C4" s="17" t="s">
        <v>30</v>
      </c>
      <c r="D4" s="17" t="s">
        <v>31</v>
      </c>
      <c r="E4" s="18" t="s">
        <v>25</v>
      </c>
      <c r="F4" s="1" t="s">
        <v>32</v>
      </c>
      <c r="G4" s="19">
        <v>46189</v>
      </c>
      <c r="H4" s="18" t="s">
        <v>32</v>
      </c>
      <c r="I4" s="26">
        <v>46190</v>
      </c>
      <c r="J4" s="26">
        <v>46190</v>
      </c>
      <c r="K4" s="18" t="s">
        <v>27</v>
      </c>
      <c r="L4" s="18" t="s">
        <v>28</v>
      </c>
      <c r="M4" s="18">
        <v>272.95</v>
      </c>
      <c r="N4" s="18">
        <v>4.0209999999999999</v>
      </c>
      <c r="O4" s="18">
        <v>670.5</v>
      </c>
      <c r="P4" s="22">
        <f>O4*1.15</f>
        <v>771.07499999999993</v>
      </c>
      <c r="Q4" s="24">
        <f>O4*0.25</f>
        <v>167.625</v>
      </c>
      <c r="R4" s="23">
        <v>15</v>
      </c>
      <c r="S4" s="18"/>
      <c r="T4" s="24">
        <f t="shared" ref="T4" si="1">225/13</f>
        <v>17.307692307692307</v>
      </c>
      <c r="U4" s="25">
        <f t="shared" si="0"/>
        <v>0.12062999999999999</v>
      </c>
      <c r="V4" s="18"/>
      <c r="W4" s="24">
        <f>SUM(O4:V4)</f>
        <v>1641.6283223076921</v>
      </c>
    </row>
    <row r="5" spans="2:23" x14ac:dyDescent="0.3">
      <c r="B5" s="18" t="s">
        <v>33</v>
      </c>
      <c r="C5" s="18" t="s">
        <v>34</v>
      </c>
      <c r="D5" s="18" t="s">
        <v>35</v>
      </c>
      <c r="E5" s="18" t="s">
        <v>25</v>
      </c>
      <c r="F5" s="18" t="s">
        <v>36</v>
      </c>
      <c r="G5" s="19">
        <v>46195</v>
      </c>
      <c r="H5" s="18" t="s">
        <v>36</v>
      </c>
      <c r="I5" s="20">
        <v>46197</v>
      </c>
      <c r="J5" s="20">
        <v>46197</v>
      </c>
      <c r="K5" s="18" t="s">
        <v>27</v>
      </c>
      <c r="L5" s="18" t="s">
        <v>28</v>
      </c>
      <c r="M5" s="18">
        <v>22.95</v>
      </c>
      <c r="N5" s="18">
        <v>0.21199999999999999</v>
      </c>
      <c r="O5" s="21">
        <v>35.5</v>
      </c>
      <c r="P5" s="22">
        <v>55</v>
      </c>
      <c r="Q5" s="24">
        <f t="shared" ref="Q5:Q9" si="2">0.19*O5</f>
        <v>6.7450000000000001</v>
      </c>
      <c r="R5" s="23">
        <v>15</v>
      </c>
      <c r="S5" s="18"/>
      <c r="T5" s="18">
        <f t="shared" ref="T5:T12" si="3">144/9</f>
        <v>16</v>
      </c>
      <c r="U5" s="25">
        <f t="shared" si="0"/>
        <v>6.3599999999999993E-3</v>
      </c>
      <c r="V5" s="18"/>
      <c r="W5" s="24">
        <f>SUM(O5:V5)</f>
        <v>128.25136000000001</v>
      </c>
    </row>
    <row r="6" spans="2:23" x14ac:dyDescent="0.3">
      <c r="B6" s="18" t="s">
        <v>37</v>
      </c>
      <c r="C6" s="18" t="s">
        <v>34</v>
      </c>
      <c r="D6" s="18" t="s">
        <v>35</v>
      </c>
      <c r="E6" s="18" t="s">
        <v>25</v>
      </c>
      <c r="F6" s="18" t="s">
        <v>38</v>
      </c>
      <c r="G6" s="19">
        <v>46195</v>
      </c>
      <c r="H6" s="18" t="s">
        <v>38</v>
      </c>
      <c r="I6" s="20">
        <v>46197</v>
      </c>
      <c r="J6" s="20">
        <v>46197</v>
      </c>
      <c r="K6" s="18" t="s">
        <v>27</v>
      </c>
      <c r="L6" s="18" t="s">
        <v>28</v>
      </c>
      <c r="M6" s="18">
        <v>20.05</v>
      </c>
      <c r="N6" s="18">
        <v>0.11899999999999999</v>
      </c>
      <c r="O6" s="21">
        <v>20.5</v>
      </c>
      <c r="P6" s="22">
        <f>O6*1.1</f>
        <v>22.55</v>
      </c>
      <c r="Q6" s="24">
        <f t="shared" si="2"/>
        <v>3.895</v>
      </c>
      <c r="R6" s="23">
        <v>15</v>
      </c>
      <c r="S6" s="18"/>
      <c r="T6" s="18">
        <f t="shared" si="3"/>
        <v>16</v>
      </c>
      <c r="U6" s="25">
        <f t="shared" si="0"/>
        <v>3.5699999999999998E-3</v>
      </c>
      <c r="V6" s="18"/>
      <c r="W6" s="24">
        <f>SUM(O6:V6)</f>
        <v>77.948569999999989</v>
      </c>
    </row>
    <row r="7" spans="2:23" x14ac:dyDescent="0.3">
      <c r="B7" s="18" t="s">
        <v>33</v>
      </c>
      <c r="C7" s="18" t="s">
        <v>34</v>
      </c>
      <c r="D7" s="18" t="s">
        <v>35</v>
      </c>
      <c r="E7" s="18" t="s">
        <v>25</v>
      </c>
      <c r="F7" s="18" t="s">
        <v>39</v>
      </c>
      <c r="G7" s="19">
        <v>46195</v>
      </c>
      <c r="H7" s="18" t="s">
        <v>39</v>
      </c>
      <c r="I7" s="20">
        <v>46197</v>
      </c>
      <c r="J7" s="20">
        <v>46197</v>
      </c>
      <c r="K7" s="18" t="s">
        <v>27</v>
      </c>
      <c r="L7" s="18" t="s">
        <v>28</v>
      </c>
      <c r="M7" s="18">
        <v>7.4</v>
      </c>
      <c r="N7" s="18">
        <v>6.4000000000000001E-2</v>
      </c>
      <c r="O7" s="21">
        <v>11</v>
      </c>
      <c r="P7" s="22">
        <f>O7*1.1</f>
        <v>12.100000000000001</v>
      </c>
      <c r="Q7" s="24">
        <f t="shared" si="2"/>
        <v>2.09</v>
      </c>
      <c r="R7" s="23">
        <v>15</v>
      </c>
      <c r="S7" s="18"/>
      <c r="T7" s="18">
        <f t="shared" si="3"/>
        <v>16</v>
      </c>
      <c r="U7" s="25">
        <f t="shared" si="0"/>
        <v>1.92E-3</v>
      </c>
      <c r="V7" s="18"/>
      <c r="W7" s="24">
        <f>SUM(O7:V7)</f>
        <v>56.191919999999996</v>
      </c>
    </row>
    <row r="8" spans="2:23" x14ac:dyDescent="0.3">
      <c r="B8" s="18" t="s">
        <v>33</v>
      </c>
      <c r="C8" s="18" t="s">
        <v>34</v>
      </c>
      <c r="D8" s="18" t="s">
        <v>35</v>
      </c>
      <c r="E8" s="18" t="s">
        <v>25</v>
      </c>
      <c r="F8" s="18" t="s">
        <v>40</v>
      </c>
      <c r="G8" s="19">
        <v>46195</v>
      </c>
      <c r="H8" s="18" t="s">
        <v>40</v>
      </c>
      <c r="I8" s="20">
        <v>46197</v>
      </c>
      <c r="J8" s="20">
        <v>46197</v>
      </c>
      <c r="K8" s="18" t="s">
        <v>27</v>
      </c>
      <c r="L8" s="18" t="s">
        <v>28</v>
      </c>
      <c r="M8" s="18">
        <v>26.3</v>
      </c>
      <c r="N8" s="18">
        <v>0.19600000000000001</v>
      </c>
      <c r="O8" s="21">
        <v>33</v>
      </c>
      <c r="P8" s="22">
        <v>55</v>
      </c>
      <c r="Q8" s="24">
        <f t="shared" si="2"/>
        <v>6.2700000000000005</v>
      </c>
      <c r="R8" s="23">
        <v>15</v>
      </c>
      <c r="S8" s="18"/>
      <c r="T8" s="18">
        <f t="shared" si="3"/>
        <v>16</v>
      </c>
      <c r="U8" s="25">
        <f t="shared" si="0"/>
        <v>5.8799999999999998E-3</v>
      </c>
      <c r="V8" s="18"/>
      <c r="W8" s="24">
        <f>SUM(O8:V8)</f>
        <v>125.27588</v>
      </c>
    </row>
    <row r="9" spans="2:23" x14ac:dyDescent="0.3">
      <c r="B9" s="18" t="s">
        <v>37</v>
      </c>
      <c r="C9" s="18" t="s">
        <v>34</v>
      </c>
      <c r="D9" s="18" t="s">
        <v>35</v>
      </c>
      <c r="E9" s="18" t="s">
        <v>25</v>
      </c>
      <c r="F9" s="18" t="s">
        <v>41</v>
      </c>
      <c r="G9" s="19">
        <v>46195</v>
      </c>
      <c r="H9" s="18" t="s">
        <v>41</v>
      </c>
      <c r="I9" s="20">
        <v>46197</v>
      </c>
      <c r="J9" s="20">
        <v>46197</v>
      </c>
      <c r="K9" s="18" t="s">
        <v>27</v>
      </c>
      <c r="L9" s="27" t="s">
        <v>42</v>
      </c>
      <c r="M9" s="18">
        <v>13</v>
      </c>
      <c r="N9" s="18">
        <v>7.5999999999999998E-2</v>
      </c>
      <c r="O9" s="21">
        <v>13</v>
      </c>
      <c r="P9" s="22">
        <v>82</v>
      </c>
      <c r="Q9" s="24">
        <f t="shared" si="2"/>
        <v>2.4700000000000002</v>
      </c>
      <c r="R9" s="23">
        <v>15</v>
      </c>
      <c r="S9" s="18">
        <v>160.5</v>
      </c>
      <c r="T9" s="18">
        <f t="shared" si="3"/>
        <v>16</v>
      </c>
      <c r="U9" s="25">
        <f t="shared" si="0"/>
        <v>2.2799999999999999E-3</v>
      </c>
      <c r="V9" s="18"/>
      <c r="W9" s="24">
        <f>SUM(O9:V9)</f>
        <v>288.97228000000001</v>
      </c>
    </row>
    <row r="10" spans="2:23" x14ac:dyDescent="0.3">
      <c r="B10" s="18" t="s">
        <v>43</v>
      </c>
      <c r="C10" s="18" t="s">
        <v>44</v>
      </c>
      <c r="D10" s="18" t="s">
        <v>45</v>
      </c>
      <c r="E10" s="18" t="s">
        <v>46</v>
      </c>
      <c r="F10" s="18" t="s">
        <v>47</v>
      </c>
      <c r="G10" s="19">
        <v>46195</v>
      </c>
      <c r="H10" s="18" t="s">
        <v>47</v>
      </c>
      <c r="I10" s="19">
        <v>46196</v>
      </c>
      <c r="J10" s="20">
        <v>46197</v>
      </c>
      <c r="K10" s="18" t="s">
        <v>27</v>
      </c>
      <c r="L10" s="18" t="s">
        <v>28</v>
      </c>
      <c r="M10" s="18">
        <v>4.0999999999999996</v>
      </c>
      <c r="N10" s="18">
        <v>3.7999999999999999E-2</v>
      </c>
      <c r="O10" s="21">
        <v>6.5</v>
      </c>
      <c r="P10" s="22">
        <f>O10*3.64</f>
        <v>23.66</v>
      </c>
      <c r="Q10" s="24">
        <f>O10*0.3</f>
        <v>1.95</v>
      </c>
      <c r="R10" s="23">
        <v>15</v>
      </c>
      <c r="S10" s="18"/>
      <c r="T10" s="18">
        <f t="shared" si="3"/>
        <v>16</v>
      </c>
      <c r="U10" s="25">
        <f t="shared" si="0"/>
        <v>1.14E-3</v>
      </c>
      <c r="V10" s="18"/>
      <c r="W10" s="24">
        <f>SUM(O10:V10)</f>
        <v>63.111139999999999</v>
      </c>
    </row>
    <row r="11" spans="2:23" x14ac:dyDescent="0.3">
      <c r="B11" s="18" t="s">
        <v>43</v>
      </c>
      <c r="C11" s="18" t="s">
        <v>44</v>
      </c>
      <c r="D11" s="18" t="s">
        <v>45</v>
      </c>
      <c r="E11" s="18" t="s">
        <v>46</v>
      </c>
      <c r="F11" s="18" t="s">
        <v>48</v>
      </c>
      <c r="G11" s="19">
        <v>46195</v>
      </c>
      <c r="H11" s="18" t="s">
        <v>48</v>
      </c>
      <c r="I11" s="19">
        <v>46196</v>
      </c>
      <c r="J11" s="20">
        <v>46197</v>
      </c>
      <c r="K11" s="18" t="s">
        <v>27</v>
      </c>
      <c r="L11" s="18" t="s">
        <v>28</v>
      </c>
      <c r="M11" s="18">
        <v>119.4</v>
      </c>
      <c r="N11" s="18">
        <v>1.33</v>
      </c>
      <c r="O11" s="21">
        <v>222</v>
      </c>
      <c r="P11" s="22">
        <f>O11*3.3</f>
        <v>732.59999999999991</v>
      </c>
      <c r="Q11" s="24">
        <f>O11*0.3</f>
        <v>66.599999999999994</v>
      </c>
      <c r="R11" s="23">
        <v>15</v>
      </c>
      <c r="S11" s="18"/>
      <c r="T11" s="18">
        <f t="shared" si="3"/>
        <v>16</v>
      </c>
      <c r="U11" s="25">
        <f t="shared" si="0"/>
        <v>3.9899999999999998E-2</v>
      </c>
      <c r="V11" s="18"/>
      <c r="W11" s="24">
        <f>SUM(O11:V11)</f>
        <v>1052.2398999999998</v>
      </c>
    </row>
    <row r="12" spans="2:23" x14ac:dyDescent="0.3">
      <c r="B12" s="18" t="s">
        <v>49</v>
      </c>
      <c r="C12" s="18" t="s">
        <v>50</v>
      </c>
      <c r="D12" s="18" t="s">
        <v>45</v>
      </c>
      <c r="E12" s="18" t="s">
        <v>46</v>
      </c>
      <c r="F12" s="18" t="s">
        <v>51</v>
      </c>
      <c r="G12" s="19">
        <v>46195</v>
      </c>
      <c r="H12" s="18" t="s">
        <v>51</v>
      </c>
      <c r="I12" s="20">
        <v>46197</v>
      </c>
      <c r="J12" s="20">
        <v>46197</v>
      </c>
      <c r="K12" s="18" t="s">
        <v>27</v>
      </c>
      <c r="L12" s="18" t="s">
        <v>28</v>
      </c>
      <c r="M12" s="18">
        <v>0.5</v>
      </c>
      <c r="N12" s="18">
        <v>4.0000000000000001E-3</v>
      </c>
      <c r="O12" s="21">
        <v>1</v>
      </c>
      <c r="P12" s="22">
        <v>86</v>
      </c>
      <c r="Q12" s="24">
        <f>O12*0.3</f>
        <v>0.3</v>
      </c>
      <c r="R12" s="23">
        <v>15</v>
      </c>
      <c r="S12" s="18"/>
      <c r="T12" s="18">
        <f t="shared" si="3"/>
        <v>16</v>
      </c>
      <c r="U12" s="25">
        <f t="shared" si="0"/>
        <v>1.2E-4</v>
      </c>
      <c r="V12" s="18"/>
      <c r="W12" s="24">
        <f>SUM(O12:V12)</f>
        <v>118.30011999999999</v>
      </c>
    </row>
    <row r="13" spans="2:23" x14ac:dyDescent="0.3">
      <c r="B13" s="18" t="s">
        <v>52</v>
      </c>
      <c r="C13" s="18" t="s">
        <v>30</v>
      </c>
      <c r="D13" s="18" t="s">
        <v>45</v>
      </c>
      <c r="E13" s="18" t="s">
        <v>25</v>
      </c>
      <c r="F13" s="18" t="s">
        <v>53</v>
      </c>
      <c r="G13" s="19">
        <v>46195</v>
      </c>
      <c r="H13" s="18" t="s">
        <v>53</v>
      </c>
      <c r="I13" s="20">
        <v>46197</v>
      </c>
      <c r="J13" s="20">
        <v>46197</v>
      </c>
      <c r="K13" s="18" t="s">
        <v>27</v>
      </c>
      <c r="L13" s="18" t="s">
        <v>28</v>
      </c>
      <c r="M13" s="18">
        <v>401.7</v>
      </c>
      <c r="N13" s="18">
        <v>6.1040000000000001</v>
      </c>
      <c r="O13" s="21">
        <v>1017.5</v>
      </c>
      <c r="P13" s="22">
        <f>O13*1.15</f>
        <v>1170.125</v>
      </c>
      <c r="Q13" s="24">
        <f>O13*0.2</f>
        <v>203.5</v>
      </c>
      <c r="R13" s="23">
        <v>15</v>
      </c>
      <c r="S13" s="18"/>
      <c r="T13" s="18">
        <f>144/9</f>
        <v>16</v>
      </c>
      <c r="U13" s="25">
        <f t="shared" si="0"/>
        <v>0.18312</v>
      </c>
      <c r="V13" s="18"/>
      <c r="W13" s="24">
        <f>SUM(O13:V13)</f>
        <v>2422.3081200000001</v>
      </c>
    </row>
    <row r="14" spans="2:23" x14ac:dyDescent="0.3">
      <c r="B14" s="18" t="s">
        <v>54</v>
      </c>
      <c r="C14" s="18" t="s">
        <v>55</v>
      </c>
      <c r="D14" s="18" t="s">
        <v>45</v>
      </c>
      <c r="E14" s="18" t="s">
        <v>25</v>
      </c>
      <c r="F14" s="18" t="s">
        <v>56</v>
      </c>
      <c r="G14" s="19">
        <v>46196</v>
      </c>
      <c r="H14" s="18" t="s">
        <v>56</v>
      </c>
      <c r="I14" s="20">
        <v>46197</v>
      </c>
      <c r="J14" s="20">
        <v>46197</v>
      </c>
      <c r="K14" s="18" t="s">
        <v>27</v>
      </c>
      <c r="L14" s="18" t="s">
        <v>28</v>
      </c>
      <c r="M14" s="18">
        <v>853.7</v>
      </c>
      <c r="N14" s="18">
        <v>12.118</v>
      </c>
      <c r="O14" s="21">
        <v>2020</v>
      </c>
      <c r="P14" s="22">
        <f>O14*1.23</f>
        <v>2484.6</v>
      </c>
      <c r="Q14" s="24">
        <f>O14*0.2</f>
        <v>404</v>
      </c>
      <c r="R14" s="23">
        <v>15</v>
      </c>
      <c r="S14" s="18"/>
      <c r="T14" s="24">
        <f>225/7</f>
        <v>32.142857142857146</v>
      </c>
      <c r="U14" s="25">
        <f t="shared" si="0"/>
        <v>0.36353999999999997</v>
      </c>
      <c r="V14" s="18">
        <f>N14*0.1</f>
        <v>1.2118000000000002</v>
      </c>
      <c r="W14" s="24">
        <f>SUM(O14:V14)</f>
        <v>4957.3181971428576</v>
      </c>
    </row>
    <row r="15" spans="2:23" x14ac:dyDescent="0.3">
      <c r="B15" s="18" t="s">
        <v>52</v>
      </c>
      <c r="C15" s="18" t="s">
        <v>30</v>
      </c>
      <c r="D15" s="18" t="s">
        <v>45</v>
      </c>
      <c r="E15" s="18" t="s">
        <v>25</v>
      </c>
      <c r="F15" s="18" t="s">
        <v>57</v>
      </c>
      <c r="G15" s="19">
        <v>46196</v>
      </c>
      <c r="H15" s="18" t="s">
        <v>57</v>
      </c>
      <c r="I15" s="20">
        <v>46197</v>
      </c>
      <c r="J15" s="20">
        <v>46197</v>
      </c>
      <c r="K15" s="18" t="s">
        <v>27</v>
      </c>
      <c r="L15" s="18" t="s">
        <v>28</v>
      </c>
      <c r="M15" s="18">
        <v>96.15</v>
      </c>
      <c r="N15" s="18">
        <v>1.282</v>
      </c>
      <c r="O15" s="21">
        <v>214</v>
      </c>
      <c r="P15" s="22">
        <f>O15*1.15</f>
        <v>246.1</v>
      </c>
      <c r="Q15" s="24">
        <f>O15*0.2</f>
        <v>42.800000000000004</v>
      </c>
      <c r="R15" s="23">
        <v>15</v>
      </c>
      <c r="S15" s="18"/>
      <c r="T15" s="24">
        <f t="shared" ref="T15:T20" si="4">225/7</f>
        <v>32.142857142857146</v>
      </c>
      <c r="U15" s="25">
        <f t="shared" si="0"/>
        <v>3.8460000000000001E-2</v>
      </c>
      <c r="V15" s="18"/>
      <c r="W15" s="24">
        <f>SUM(O15:V15)</f>
        <v>550.08131714285719</v>
      </c>
    </row>
    <row r="16" spans="2:23" x14ac:dyDescent="0.3">
      <c r="B16" s="18" t="s">
        <v>58</v>
      </c>
      <c r="C16" s="18" t="s">
        <v>50</v>
      </c>
      <c r="D16" s="18" t="s">
        <v>31</v>
      </c>
      <c r="E16" s="18" t="s">
        <v>25</v>
      </c>
      <c r="F16" s="18" t="s">
        <v>59</v>
      </c>
      <c r="G16" s="19">
        <v>46196</v>
      </c>
      <c r="H16" s="18" t="s">
        <v>59</v>
      </c>
      <c r="I16" s="20">
        <v>46198</v>
      </c>
      <c r="J16" s="19">
        <v>46199</v>
      </c>
      <c r="K16" s="18" t="s">
        <v>27</v>
      </c>
      <c r="L16" s="18" t="s">
        <v>28</v>
      </c>
      <c r="M16" s="18">
        <v>67.599999999999994</v>
      </c>
      <c r="N16" s="18">
        <v>0.86299999999999999</v>
      </c>
      <c r="O16" s="21">
        <v>144</v>
      </c>
      <c r="P16" s="22">
        <f>O16*2.98</f>
        <v>429.12</v>
      </c>
      <c r="Q16" s="24">
        <f>O16*1.5</f>
        <v>216</v>
      </c>
      <c r="R16" s="23">
        <v>15</v>
      </c>
      <c r="S16" s="18"/>
      <c r="T16" s="24">
        <f t="shared" si="4"/>
        <v>32.142857142857146</v>
      </c>
      <c r="U16" s="25">
        <f t="shared" si="0"/>
        <v>2.589E-2</v>
      </c>
      <c r="V16" s="18"/>
      <c r="W16" s="24">
        <f>SUM(O16:V16)</f>
        <v>836.28874714285712</v>
      </c>
    </row>
    <row r="17" spans="2:23" x14ac:dyDescent="0.3">
      <c r="B17" s="18" t="s">
        <v>60</v>
      </c>
      <c r="C17" s="18" t="s">
        <v>23</v>
      </c>
      <c r="D17" s="18" t="s">
        <v>45</v>
      </c>
      <c r="E17" s="18" t="s">
        <v>46</v>
      </c>
      <c r="F17" s="18" t="s">
        <v>61</v>
      </c>
      <c r="G17" s="19">
        <v>46196</v>
      </c>
      <c r="H17" s="18" t="s">
        <v>61</v>
      </c>
      <c r="I17" s="20">
        <v>46200</v>
      </c>
      <c r="J17" s="20">
        <v>46200</v>
      </c>
      <c r="K17" s="18" t="s">
        <v>27</v>
      </c>
      <c r="L17" s="18" t="s">
        <v>28</v>
      </c>
      <c r="M17" s="18">
        <v>119.2</v>
      </c>
      <c r="N17" s="18">
        <v>1.0840000000000001</v>
      </c>
      <c r="O17" s="21">
        <v>181</v>
      </c>
      <c r="P17" s="22">
        <f>O17*3.58</f>
        <v>647.98</v>
      </c>
      <c r="Q17" s="24">
        <f>O17*0.3</f>
        <v>54.3</v>
      </c>
      <c r="R17" s="23">
        <v>15</v>
      </c>
      <c r="S17" s="18"/>
      <c r="T17" s="24">
        <f t="shared" si="4"/>
        <v>32.142857142857146</v>
      </c>
      <c r="U17" s="25">
        <f t="shared" si="0"/>
        <v>3.252E-2</v>
      </c>
      <c r="V17" s="18"/>
      <c r="W17" s="24">
        <f>SUM(O17:V17)</f>
        <v>930.45537714285706</v>
      </c>
    </row>
    <row r="18" spans="2:23" x14ac:dyDescent="0.3">
      <c r="B18" s="18" t="s">
        <v>62</v>
      </c>
      <c r="C18" s="18" t="s">
        <v>44</v>
      </c>
      <c r="D18" s="18" t="s">
        <v>45</v>
      </c>
      <c r="E18" s="18" t="s">
        <v>46</v>
      </c>
      <c r="F18" s="18" t="s">
        <v>63</v>
      </c>
      <c r="G18" s="19">
        <v>46196</v>
      </c>
      <c r="H18" s="18" t="s">
        <v>63</v>
      </c>
      <c r="I18" s="19">
        <v>46199</v>
      </c>
      <c r="J18" s="20">
        <v>46200</v>
      </c>
      <c r="K18" s="18" t="s">
        <v>27</v>
      </c>
      <c r="L18" s="18" t="s">
        <v>28</v>
      </c>
      <c r="M18" s="18">
        <v>167.75</v>
      </c>
      <c r="N18" s="18">
        <v>1.6459999999999999</v>
      </c>
      <c r="O18" s="21">
        <v>274.5</v>
      </c>
      <c r="P18" s="22">
        <f>O18*3.3</f>
        <v>905.84999999999991</v>
      </c>
      <c r="Q18" s="24">
        <f>O18*0.3</f>
        <v>82.35</v>
      </c>
      <c r="R18" s="23">
        <v>15</v>
      </c>
      <c r="S18" s="18"/>
      <c r="T18" s="24">
        <f t="shared" si="4"/>
        <v>32.142857142857146</v>
      </c>
      <c r="U18" s="25">
        <f t="shared" si="0"/>
        <v>4.9379999999999993E-2</v>
      </c>
      <c r="V18" s="18"/>
      <c r="W18" s="24">
        <f>SUM(O18:V18)</f>
        <v>1309.8922371428569</v>
      </c>
    </row>
    <row r="19" spans="2:23" x14ac:dyDescent="0.3">
      <c r="B19" s="18" t="s">
        <v>64</v>
      </c>
      <c r="C19" s="18" t="s">
        <v>65</v>
      </c>
      <c r="D19" s="18" t="s">
        <v>35</v>
      </c>
      <c r="E19" s="18" t="s">
        <v>66</v>
      </c>
      <c r="F19" s="18" t="s">
        <v>67</v>
      </c>
      <c r="G19" s="19">
        <v>46196</v>
      </c>
      <c r="H19" s="18" t="s">
        <v>67</v>
      </c>
      <c r="I19" s="20">
        <v>46198</v>
      </c>
      <c r="J19" s="19">
        <v>46199</v>
      </c>
      <c r="K19" s="18" t="s">
        <v>27</v>
      </c>
      <c r="L19" s="27" t="s">
        <v>42</v>
      </c>
      <c r="M19" s="18">
        <v>63.3</v>
      </c>
      <c r="N19" s="18">
        <v>0.42</v>
      </c>
      <c r="O19" s="21">
        <v>70</v>
      </c>
      <c r="P19" s="22">
        <f>O19*5.1</f>
        <v>357</v>
      </c>
      <c r="Q19" s="24">
        <f>O19*0.4</f>
        <v>28</v>
      </c>
      <c r="R19" s="23">
        <v>15</v>
      </c>
      <c r="S19" s="18">
        <v>160.5</v>
      </c>
      <c r="T19" s="24">
        <f t="shared" si="4"/>
        <v>32.142857142857146</v>
      </c>
      <c r="U19" s="25">
        <f t="shared" si="0"/>
        <v>1.2599999999999998E-2</v>
      </c>
      <c r="V19" s="18"/>
      <c r="W19" s="24">
        <f>SUM(O19:V19)</f>
        <v>662.65545714285713</v>
      </c>
    </row>
    <row r="20" spans="2:23" x14ac:dyDescent="0.3">
      <c r="B20" s="18" t="s">
        <v>68</v>
      </c>
      <c r="C20" s="18" t="s">
        <v>69</v>
      </c>
      <c r="D20" s="18" t="s">
        <v>45</v>
      </c>
      <c r="E20" s="18" t="s">
        <v>25</v>
      </c>
      <c r="F20" s="18" t="s">
        <v>70</v>
      </c>
      <c r="G20" s="19">
        <v>46196</v>
      </c>
      <c r="H20" s="18" t="s">
        <v>70</v>
      </c>
      <c r="I20" s="20">
        <v>46197</v>
      </c>
      <c r="J20" s="20">
        <v>46197</v>
      </c>
      <c r="K20" s="18" t="s">
        <v>27</v>
      </c>
      <c r="L20" s="18" t="s">
        <v>28</v>
      </c>
      <c r="M20" s="18">
        <v>163.35</v>
      </c>
      <c r="N20" s="18">
        <v>1.7370000000000001</v>
      </c>
      <c r="O20" s="21">
        <v>289.5</v>
      </c>
      <c r="P20" s="22">
        <f>O20*1.3</f>
        <v>376.35</v>
      </c>
      <c r="Q20" s="24">
        <f>O20*0.2</f>
        <v>57.900000000000006</v>
      </c>
      <c r="R20" s="23">
        <v>15</v>
      </c>
      <c r="S20" s="18"/>
      <c r="T20" s="24">
        <f t="shared" si="4"/>
        <v>32.142857142857146</v>
      </c>
      <c r="U20" s="25">
        <f t="shared" si="0"/>
        <v>5.2110000000000004E-2</v>
      </c>
      <c r="V20" s="18"/>
      <c r="W20" s="24">
        <f>SUM(O20:V20)</f>
        <v>770.94496714285708</v>
      </c>
    </row>
    <row r="21" spans="2:23" x14ac:dyDescent="0.3">
      <c r="B21" s="18" t="s">
        <v>71</v>
      </c>
      <c r="C21" s="18" t="s">
        <v>34</v>
      </c>
      <c r="D21" s="18" t="s">
        <v>35</v>
      </c>
      <c r="E21" s="18" t="s">
        <v>25</v>
      </c>
      <c r="F21" s="18" t="s">
        <v>72</v>
      </c>
      <c r="G21" s="19">
        <v>46197</v>
      </c>
      <c r="H21" s="18" t="s">
        <v>72</v>
      </c>
      <c r="I21" s="20">
        <v>46198</v>
      </c>
      <c r="J21" s="20">
        <v>46198</v>
      </c>
      <c r="K21" s="18" t="s">
        <v>27</v>
      </c>
      <c r="L21" s="18" t="s">
        <v>28</v>
      </c>
      <c r="M21" s="18">
        <v>13.7</v>
      </c>
      <c r="N21" s="18">
        <v>0.17100000000000001</v>
      </c>
      <c r="O21" s="21">
        <v>28.5</v>
      </c>
      <c r="P21" s="22">
        <v>55</v>
      </c>
      <c r="Q21" s="24">
        <f>0.19*O21</f>
        <v>5.415</v>
      </c>
      <c r="R21" s="23">
        <v>15</v>
      </c>
      <c r="S21" s="18"/>
      <c r="T21" s="18">
        <f t="shared" ref="T21:T38" si="5">144/10</f>
        <v>14.4</v>
      </c>
      <c r="U21" s="25">
        <f t="shared" si="0"/>
        <v>5.13E-3</v>
      </c>
      <c r="V21" s="18"/>
      <c r="W21" s="24">
        <f>SUM(O21:V21)</f>
        <v>118.32013000000001</v>
      </c>
    </row>
    <row r="22" spans="2:23" x14ac:dyDescent="0.3">
      <c r="B22" s="18" t="s">
        <v>71</v>
      </c>
      <c r="C22" s="18" t="s">
        <v>34</v>
      </c>
      <c r="D22" s="18" t="s">
        <v>35</v>
      </c>
      <c r="E22" s="18" t="s">
        <v>25</v>
      </c>
      <c r="F22" s="18" t="s">
        <v>73</v>
      </c>
      <c r="G22" s="19">
        <v>46197</v>
      </c>
      <c r="H22" s="18" t="s">
        <v>73</v>
      </c>
      <c r="I22" s="20">
        <v>46198</v>
      </c>
      <c r="J22" s="20">
        <v>46198</v>
      </c>
      <c r="K22" s="18" t="s">
        <v>27</v>
      </c>
      <c r="L22" s="18" t="s">
        <v>28</v>
      </c>
      <c r="M22" s="18">
        <v>1.1499999999999999</v>
      </c>
      <c r="N22" s="18">
        <v>2.7E-2</v>
      </c>
      <c r="O22" s="21">
        <v>4.5</v>
      </c>
      <c r="P22" s="22">
        <v>55</v>
      </c>
      <c r="Q22" s="24">
        <f>0.19*O22</f>
        <v>0.85499999999999998</v>
      </c>
      <c r="R22" s="23">
        <v>15</v>
      </c>
      <c r="S22" s="18"/>
      <c r="T22" s="18">
        <f t="shared" si="5"/>
        <v>14.4</v>
      </c>
      <c r="U22" s="25">
        <f t="shared" si="0"/>
        <v>8.0999999999999996E-4</v>
      </c>
      <c r="V22" s="18"/>
      <c r="W22" s="24">
        <f>SUM(O22:V22)</f>
        <v>89.755809999999997</v>
      </c>
    </row>
    <row r="23" spans="2:23" x14ac:dyDescent="0.3">
      <c r="B23" s="18" t="s">
        <v>71</v>
      </c>
      <c r="C23" s="18" t="s">
        <v>34</v>
      </c>
      <c r="D23" s="18" t="s">
        <v>35</v>
      </c>
      <c r="E23" s="18" t="s">
        <v>25</v>
      </c>
      <c r="F23" s="18" t="s">
        <v>74</v>
      </c>
      <c r="G23" s="19">
        <v>46197</v>
      </c>
      <c r="H23" s="18" t="s">
        <v>74</v>
      </c>
      <c r="I23" s="20">
        <v>46198</v>
      </c>
      <c r="J23" s="20">
        <v>46198</v>
      </c>
      <c r="K23" s="18" t="s">
        <v>27</v>
      </c>
      <c r="L23" s="18" t="s">
        <v>28</v>
      </c>
      <c r="M23" s="18">
        <v>8.5</v>
      </c>
      <c r="N23" s="18">
        <v>0.06</v>
      </c>
      <c r="O23" s="21">
        <v>10</v>
      </c>
      <c r="P23" s="22">
        <v>55</v>
      </c>
      <c r="Q23" s="24">
        <f>0.19*O23</f>
        <v>1.9</v>
      </c>
      <c r="R23" s="23">
        <v>15</v>
      </c>
      <c r="S23" s="18"/>
      <c r="T23" s="18">
        <f t="shared" si="5"/>
        <v>14.4</v>
      </c>
      <c r="U23" s="25">
        <f t="shared" si="0"/>
        <v>1.8E-3</v>
      </c>
      <c r="V23" s="18"/>
      <c r="W23" s="24">
        <f>SUM(O23:V23)</f>
        <v>96.301800000000014</v>
      </c>
    </row>
    <row r="24" spans="2:23" x14ac:dyDescent="0.3">
      <c r="B24" s="18" t="s">
        <v>71</v>
      </c>
      <c r="C24" s="18" t="s">
        <v>34</v>
      </c>
      <c r="D24" s="18" t="s">
        <v>35</v>
      </c>
      <c r="E24" s="18" t="s">
        <v>25</v>
      </c>
      <c r="F24" s="18" t="s">
        <v>75</v>
      </c>
      <c r="G24" s="19">
        <v>46197</v>
      </c>
      <c r="H24" s="18" t="s">
        <v>75</v>
      </c>
      <c r="I24" s="20">
        <v>46198</v>
      </c>
      <c r="J24" s="20">
        <v>46198</v>
      </c>
      <c r="K24" s="18" t="s">
        <v>27</v>
      </c>
      <c r="L24" s="18" t="s">
        <v>28</v>
      </c>
      <c r="M24" s="18">
        <v>10.7</v>
      </c>
      <c r="N24" s="18">
        <v>0.18</v>
      </c>
      <c r="O24" s="21">
        <v>30</v>
      </c>
      <c r="P24" s="22">
        <v>55</v>
      </c>
      <c r="Q24" s="24">
        <f>0.19*O24</f>
        <v>5.7</v>
      </c>
      <c r="R24" s="23">
        <v>15</v>
      </c>
      <c r="S24" s="18"/>
      <c r="T24" s="18">
        <f t="shared" si="5"/>
        <v>14.4</v>
      </c>
      <c r="U24" s="25">
        <f t="shared" si="0"/>
        <v>5.3999999999999994E-3</v>
      </c>
      <c r="V24" s="18"/>
      <c r="W24" s="24">
        <f>SUM(O24:V24)</f>
        <v>120.1054</v>
      </c>
    </row>
    <row r="25" spans="2:23" x14ac:dyDescent="0.3">
      <c r="B25" s="18" t="s">
        <v>76</v>
      </c>
      <c r="C25" s="18" t="s">
        <v>69</v>
      </c>
      <c r="D25" s="18" t="s">
        <v>45</v>
      </c>
      <c r="E25" s="18" t="s">
        <v>25</v>
      </c>
      <c r="F25" s="18" t="s">
        <v>77</v>
      </c>
      <c r="G25" s="19">
        <v>46197</v>
      </c>
      <c r="H25" s="18" t="s">
        <v>77</v>
      </c>
      <c r="I25" s="20">
        <v>46201</v>
      </c>
      <c r="J25" s="20">
        <v>46201</v>
      </c>
      <c r="K25" s="18" t="s">
        <v>27</v>
      </c>
      <c r="L25" s="18" t="s">
        <v>28</v>
      </c>
      <c r="M25" s="18">
        <v>184.15</v>
      </c>
      <c r="N25" s="18">
        <v>2.5550000000000002</v>
      </c>
      <c r="O25" s="21">
        <v>426</v>
      </c>
      <c r="P25" s="22">
        <f>O25*1.3</f>
        <v>553.80000000000007</v>
      </c>
      <c r="Q25" s="24">
        <f>O25*0.2</f>
        <v>85.2</v>
      </c>
      <c r="R25" s="23">
        <v>15</v>
      </c>
      <c r="S25" s="18"/>
      <c r="T25" s="18">
        <f t="shared" si="5"/>
        <v>14.4</v>
      </c>
      <c r="U25" s="25">
        <f t="shared" si="0"/>
        <v>7.6649999999999996E-2</v>
      </c>
      <c r="V25" s="18"/>
      <c r="W25" s="24">
        <f>SUM(O25:V25)</f>
        <v>1094.4766500000001</v>
      </c>
    </row>
    <row r="26" spans="2:23" x14ac:dyDescent="0.3">
      <c r="B26" s="18" t="s">
        <v>78</v>
      </c>
      <c r="C26" s="18" t="s">
        <v>44</v>
      </c>
      <c r="D26" s="18" t="s">
        <v>45</v>
      </c>
      <c r="E26" s="18" t="s">
        <v>46</v>
      </c>
      <c r="F26" s="18" t="s">
        <v>79</v>
      </c>
      <c r="G26" s="19">
        <v>46197</v>
      </c>
      <c r="H26" s="18" t="s">
        <v>79</v>
      </c>
      <c r="I26" s="20">
        <v>46198</v>
      </c>
      <c r="J26" s="19">
        <v>46199</v>
      </c>
      <c r="K26" s="18" t="s">
        <v>27</v>
      </c>
      <c r="L26" s="18" t="s">
        <v>28</v>
      </c>
      <c r="M26" s="18">
        <v>30.8</v>
      </c>
      <c r="N26" s="18">
        <v>0.30499999999999999</v>
      </c>
      <c r="O26" s="21">
        <v>51</v>
      </c>
      <c r="P26" s="22">
        <f>O26*3.64</f>
        <v>185.64000000000001</v>
      </c>
      <c r="Q26" s="24">
        <f>O26*0.3</f>
        <v>15.299999999999999</v>
      </c>
      <c r="R26" s="23">
        <v>15</v>
      </c>
      <c r="S26" s="18"/>
      <c r="T26" s="18">
        <f t="shared" si="5"/>
        <v>14.4</v>
      </c>
      <c r="U26" s="25">
        <f t="shared" si="0"/>
        <v>9.1500000000000001E-3</v>
      </c>
      <c r="V26" s="18"/>
      <c r="W26" s="24">
        <f>SUM(O26:V26)</f>
        <v>281.34915000000001</v>
      </c>
    </row>
    <row r="27" spans="2:23" x14ac:dyDescent="0.3">
      <c r="B27" s="18" t="s">
        <v>64</v>
      </c>
      <c r="C27" s="18" t="s">
        <v>65</v>
      </c>
      <c r="D27" s="18" t="s">
        <v>35</v>
      </c>
      <c r="E27" s="18" t="s">
        <v>66</v>
      </c>
      <c r="F27" s="18" t="s">
        <v>80</v>
      </c>
      <c r="G27" s="19">
        <v>46197</v>
      </c>
      <c r="H27" s="18" t="s">
        <v>80</v>
      </c>
      <c r="I27" s="20">
        <v>46198</v>
      </c>
      <c r="J27" s="19">
        <v>46199</v>
      </c>
      <c r="K27" s="18" t="s">
        <v>27</v>
      </c>
      <c r="L27" s="27" t="s">
        <v>42</v>
      </c>
      <c r="M27" s="18">
        <v>6.5</v>
      </c>
      <c r="N27" s="18">
        <v>0.06</v>
      </c>
      <c r="O27" s="21">
        <v>10</v>
      </c>
      <c r="P27" s="22">
        <v>86</v>
      </c>
      <c r="Q27" s="24">
        <f>O27*0.4</f>
        <v>4</v>
      </c>
      <c r="R27" s="23">
        <v>15</v>
      </c>
      <c r="S27" s="18">
        <v>160.5</v>
      </c>
      <c r="T27" s="18">
        <f t="shared" si="5"/>
        <v>14.4</v>
      </c>
      <c r="U27" s="25">
        <f t="shared" si="0"/>
        <v>1.8E-3</v>
      </c>
      <c r="V27" s="18"/>
      <c r="W27" s="24">
        <f>SUM(O27:V27)</f>
        <v>289.90179999999998</v>
      </c>
    </row>
    <row r="28" spans="2:23" x14ac:dyDescent="0.3">
      <c r="B28" s="18" t="s">
        <v>81</v>
      </c>
      <c r="C28" s="18" t="s">
        <v>50</v>
      </c>
      <c r="D28" s="18" t="s">
        <v>45</v>
      </c>
      <c r="E28" s="18" t="s">
        <v>46</v>
      </c>
      <c r="F28" s="18" t="s">
        <v>82</v>
      </c>
      <c r="G28" s="19">
        <v>46197</v>
      </c>
      <c r="H28" s="18" t="s">
        <v>82</v>
      </c>
      <c r="I28" s="20">
        <v>46200</v>
      </c>
      <c r="J28" s="20">
        <v>46201</v>
      </c>
      <c r="K28" s="18" t="s">
        <v>27</v>
      </c>
      <c r="L28" s="18" t="s">
        <v>28</v>
      </c>
      <c r="M28" s="18">
        <v>6.2</v>
      </c>
      <c r="N28" s="18">
        <v>5.1999999999999998E-2</v>
      </c>
      <c r="O28" s="21">
        <v>9</v>
      </c>
      <c r="P28" s="22">
        <v>86</v>
      </c>
      <c r="Q28" s="24">
        <f>O28*0.3</f>
        <v>2.6999999999999997</v>
      </c>
      <c r="R28" s="23">
        <v>15</v>
      </c>
      <c r="S28" s="18"/>
      <c r="T28" s="18">
        <f t="shared" si="5"/>
        <v>14.4</v>
      </c>
      <c r="U28" s="25">
        <f t="shared" si="0"/>
        <v>1.56E-3</v>
      </c>
      <c r="V28" s="18"/>
      <c r="W28" s="24">
        <f>SUM(O28:V28)</f>
        <v>127.10156000000001</v>
      </c>
    </row>
    <row r="29" spans="2:23" x14ac:dyDescent="0.3">
      <c r="B29" s="18" t="s">
        <v>83</v>
      </c>
      <c r="C29" s="18" t="s">
        <v>30</v>
      </c>
      <c r="D29" s="18" t="s">
        <v>45</v>
      </c>
      <c r="E29" s="18" t="s">
        <v>25</v>
      </c>
      <c r="F29" s="18" t="s">
        <v>84</v>
      </c>
      <c r="G29" s="19">
        <v>46197</v>
      </c>
      <c r="H29" s="18" t="s">
        <v>84</v>
      </c>
      <c r="I29" s="20">
        <v>46200</v>
      </c>
      <c r="J29" s="20">
        <v>46200</v>
      </c>
      <c r="K29" s="18" t="s">
        <v>27</v>
      </c>
      <c r="L29" s="18" t="s">
        <v>28</v>
      </c>
      <c r="M29" s="18">
        <v>219.12</v>
      </c>
      <c r="N29" s="18">
        <v>412.2</v>
      </c>
      <c r="O29" s="21">
        <v>412.5</v>
      </c>
      <c r="P29" s="22">
        <f>O29*1.15</f>
        <v>474.37499999999994</v>
      </c>
      <c r="Q29" s="24">
        <f>O29*0.2</f>
        <v>82.5</v>
      </c>
      <c r="R29" s="23">
        <v>15</v>
      </c>
      <c r="S29" s="18"/>
      <c r="T29" s="18">
        <f t="shared" si="5"/>
        <v>14.4</v>
      </c>
      <c r="U29" s="25">
        <f t="shared" si="0"/>
        <v>12.366</v>
      </c>
      <c r="V29" s="18"/>
      <c r="W29" s="24">
        <f>SUM(O29:V29)</f>
        <v>1011.141</v>
      </c>
    </row>
    <row r="30" spans="2:23" x14ac:dyDescent="0.3">
      <c r="B30" s="18" t="s">
        <v>85</v>
      </c>
      <c r="C30" s="18" t="s">
        <v>86</v>
      </c>
      <c r="D30" s="18" t="s">
        <v>87</v>
      </c>
      <c r="E30" s="18" t="s">
        <v>66</v>
      </c>
      <c r="F30" s="18" t="s">
        <v>85</v>
      </c>
      <c r="G30" s="19">
        <v>46198</v>
      </c>
      <c r="H30" s="18" t="s">
        <v>85</v>
      </c>
      <c r="I30" s="20">
        <v>46201</v>
      </c>
      <c r="J30" s="18"/>
      <c r="K30" s="18" t="s">
        <v>27</v>
      </c>
      <c r="L30" s="27" t="s">
        <v>42</v>
      </c>
      <c r="M30" s="18">
        <v>0.5</v>
      </c>
      <c r="N30" s="18">
        <v>1.6E-2</v>
      </c>
      <c r="O30" s="21">
        <v>3</v>
      </c>
      <c r="P30" s="22">
        <v>90</v>
      </c>
      <c r="Q30" s="24">
        <v>15</v>
      </c>
      <c r="R30" s="23">
        <v>15</v>
      </c>
      <c r="S30" s="18">
        <v>160.5</v>
      </c>
      <c r="T30" s="18">
        <f t="shared" si="5"/>
        <v>14.4</v>
      </c>
      <c r="U30" s="25">
        <f t="shared" si="0"/>
        <v>4.8000000000000001E-4</v>
      </c>
      <c r="V30" s="18">
        <f>N30*0.05</f>
        <v>8.0000000000000004E-4</v>
      </c>
      <c r="W30" s="24">
        <f>SUM(O30:V30)</f>
        <v>297.90127999999999</v>
      </c>
    </row>
    <row r="31" spans="2:23" x14ac:dyDescent="0.3">
      <c r="B31" s="18" t="s">
        <v>88</v>
      </c>
      <c r="C31" s="18" t="s">
        <v>30</v>
      </c>
      <c r="D31" s="18" t="s">
        <v>45</v>
      </c>
      <c r="E31" s="18" t="s">
        <v>25</v>
      </c>
      <c r="F31" s="18" t="s">
        <v>89</v>
      </c>
      <c r="G31" s="19">
        <v>46198</v>
      </c>
      <c r="H31" s="18" t="s">
        <v>89</v>
      </c>
      <c r="I31" s="20">
        <v>46200</v>
      </c>
      <c r="J31" s="20">
        <v>46200</v>
      </c>
      <c r="K31" s="18" t="s">
        <v>27</v>
      </c>
      <c r="L31" s="18" t="s">
        <v>28</v>
      </c>
      <c r="M31" s="18">
        <v>195.6</v>
      </c>
      <c r="N31" s="18">
        <v>3.004</v>
      </c>
      <c r="O31" s="21">
        <v>501</v>
      </c>
      <c r="P31" s="22">
        <f>O31*1.15</f>
        <v>576.15</v>
      </c>
      <c r="Q31" s="24">
        <f>O31*0.2</f>
        <v>100.2</v>
      </c>
      <c r="R31" s="23">
        <v>15</v>
      </c>
      <c r="S31" s="18"/>
      <c r="T31" s="18">
        <f t="shared" si="5"/>
        <v>14.4</v>
      </c>
      <c r="U31" s="25">
        <f t="shared" si="0"/>
        <v>9.0119999999999992E-2</v>
      </c>
      <c r="V31" s="18"/>
      <c r="W31" s="24">
        <f>SUM(O31:V31)</f>
        <v>1206.8401200000003</v>
      </c>
    </row>
    <row r="32" spans="2:23" x14ac:dyDescent="0.3">
      <c r="B32" s="18" t="s">
        <v>90</v>
      </c>
      <c r="C32" s="18" t="s">
        <v>44</v>
      </c>
      <c r="D32" s="18" t="s">
        <v>45</v>
      </c>
      <c r="E32" s="18" t="s">
        <v>46</v>
      </c>
      <c r="F32" s="18" t="s">
        <v>91</v>
      </c>
      <c r="G32" s="19">
        <v>46198</v>
      </c>
      <c r="H32" s="18" t="s">
        <v>91</v>
      </c>
      <c r="I32" s="20">
        <v>46199</v>
      </c>
      <c r="J32" s="20">
        <v>46199</v>
      </c>
      <c r="K32" s="18" t="s">
        <v>27</v>
      </c>
      <c r="L32" s="18" t="s">
        <v>28</v>
      </c>
      <c r="M32" s="18">
        <v>103.65</v>
      </c>
      <c r="N32" s="18">
        <v>1</v>
      </c>
      <c r="O32" s="21">
        <v>167</v>
      </c>
      <c r="P32" s="22">
        <f>O32*3.3</f>
        <v>551.1</v>
      </c>
      <c r="Q32" s="24">
        <f>O32*0.3</f>
        <v>50.1</v>
      </c>
      <c r="R32" s="23">
        <v>15</v>
      </c>
      <c r="S32" s="18"/>
      <c r="T32" s="18">
        <f t="shared" si="5"/>
        <v>14.4</v>
      </c>
      <c r="U32" s="25">
        <f t="shared" si="0"/>
        <v>0.03</v>
      </c>
      <c r="V32" s="18"/>
      <c r="W32" s="24">
        <f>SUM(O32:V32)</f>
        <v>797.63</v>
      </c>
    </row>
    <row r="33" spans="2:23" x14ac:dyDescent="0.3">
      <c r="B33" s="18" t="s">
        <v>92</v>
      </c>
      <c r="C33" s="18" t="s">
        <v>65</v>
      </c>
      <c r="D33" s="18" t="s">
        <v>35</v>
      </c>
      <c r="E33" s="18" t="s">
        <v>66</v>
      </c>
      <c r="F33" s="18" t="s">
        <v>93</v>
      </c>
      <c r="G33" s="19">
        <v>46198</v>
      </c>
      <c r="H33" s="18" t="s">
        <v>93</v>
      </c>
      <c r="I33" s="20">
        <v>46200</v>
      </c>
      <c r="J33" s="19">
        <v>46202</v>
      </c>
      <c r="K33" s="18" t="s">
        <v>27</v>
      </c>
      <c r="L33" s="27" t="s">
        <v>42</v>
      </c>
      <c r="M33" s="18">
        <v>18.05</v>
      </c>
      <c r="N33" s="18">
        <v>0.14399999999999999</v>
      </c>
      <c r="O33" s="21">
        <v>24</v>
      </c>
      <c r="P33" s="22">
        <f>O33*5.1</f>
        <v>122.39999999999999</v>
      </c>
      <c r="Q33" s="24">
        <f>O33*0.4</f>
        <v>9.6000000000000014</v>
      </c>
      <c r="R33" s="23">
        <v>15</v>
      </c>
      <c r="S33" s="18">
        <v>160.5</v>
      </c>
      <c r="T33" s="18">
        <f t="shared" si="5"/>
        <v>14.4</v>
      </c>
      <c r="U33" s="25">
        <f>0.03*N33</f>
        <v>4.3199999999999992E-3</v>
      </c>
      <c r="V33" s="18"/>
      <c r="W33" s="24">
        <f>SUM(O33:V33)</f>
        <v>345.90431999999998</v>
      </c>
    </row>
    <row r="34" spans="2:23" x14ac:dyDescent="0.3">
      <c r="B34" s="18" t="s">
        <v>94</v>
      </c>
      <c r="C34" s="18" t="s">
        <v>50</v>
      </c>
      <c r="D34" s="18" t="s">
        <v>45</v>
      </c>
      <c r="E34" s="18" t="s">
        <v>46</v>
      </c>
      <c r="F34" s="18" t="s">
        <v>95</v>
      </c>
      <c r="G34" s="19">
        <v>46198</v>
      </c>
      <c r="H34" s="18" t="s">
        <v>95</v>
      </c>
      <c r="I34" s="20">
        <v>46200</v>
      </c>
      <c r="J34" s="20">
        <v>46200</v>
      </c>
      <c r="K34" s="18" t="s">
        <v>27</v>
      </c>
      <c r="L34" s="18" t="s">
        <v>28</v>
      </c>
      <c r="M34" s="18">
        <v>57.95</v>
      </c>
      <c r="N34" s="18">
        <v>0.85499999999999998</v>
      </c>
      <c r="O34" s="21">
        <v>142.5</v>
      </c>
      <c r="P34" s="22">
        <f>O34*2.34</f>
        <v>333.45</v>
      </c>
      <c r="Q34" s="24">
        <f>O34*0.3</f>
        <v>42.75</v>
      </c>
      <c r="R34" s="23">
        <v>15</v>
      </c>
      <c r="S34" s="18"/>
      <c r="T34" s="18">
        <f t="shared" si="5"/>
        <v>14.4</v>
      </c>
      <c r="U34" s="25">
        <f t="shared" si="0"/>
        <v>2.5649999999999999E-2</v>
      </c>
      <c r="V34" s="18"/>
      <c r="W34" s="24">
        <f>SUM(O34:V34)</f>
        <v>548.12565000000006</v>
      </c>
    </row>
    <row r="35" spans="2:23" x14ac:dyDescent="0.3">
      <c r="B35" s="18" t="s">
        <v>96</v>
      </c>
      <c r="C35" s="18" t="s">
        <v>50</v>
      </c>
      <c r="D35" s="18" t="s">
        <v>35</v>
      </c>
      <c r="E35" s="18" t="s">
        <v>66</v>
      </c>
      <c r="F35" s="18" t="s">
        <v>97</v>
      </c>
      <c r="G35" s="19">
        <v>46198</v>
      </c>
      <c r="H35" s="18" t="s">
        <v>97</v>
      </c>
      <c r="I35" s="20">
        <v>46200</v>
      </c>
      <c r="J35" s="19">
        <v>46203</v>
      </c>
      <c r="K35" s="18" t="s">
        <v>27</v>
      </c>
      <c r="L35" s="27" t="s">
        <v>42</v>
      </c>
      <c r="M35" s="18">
        <v>14.7</v>
      </c>
      <c r="N35" s="18">
        <v>0.14299999999999999</v>
      </c>
      <c r="O35" s="21">
        <v>24</v>
      </c>
      <c r="P35" s="22">
        <v>150</v>
      </c>
      <c r="Q35" s="24">
        <f>O35*0.4</f>
        <v>9.6000000000000014</v>
      </c>
      <c r="R35" s="23">
        <v>15</v>
      </c>
      <c r="S35" s="18">
        <v>160.5</v>
      </c>
      <c r="T35" s="18">
        <f t="shared" si="5"/>
        <v>14.4</v>
      </c>
      <c r="U35" s="25">
        <f t="shared" si="0"/>
        <v>4.2899999999999995E-3</v>
      </c>
      <c r="V35" s="18"/>
      <c r="W35" s="24">
        <f>SUM(O35:V35)</f>
        <v>373.50429000000003</v>
      </c>
    </row>
    <row r="36" spans="2:23" x14ac:dyDescent="0.3">
      <c r="B36" s="18" t="s">
        <v>98</v>
      </c>
      <c r="C36" s="18" t="s">
        <v>34</v>
      </c>
      <c r="D36" s="18" t="s">
        <v>35</v>
      </c>
      <c r="E36" s="18" t="s">
        <v>25</v>
      </c>
      <c r="F36" s="18" t="s">
        <v>99</v>
      </c>
      <c r="G36" s="19">
        <v>46198</v>
      </c>
      <c r="H36" s="18" t="s">
        <v>99</v>
      </c>
      <c r="I36" s="20">
        <v>46200</v>
      </c>
      <c r="J36" s="20">
        <v>46200</v>
      </c>
      <c r="K36" s="18" t="s">
        <v>27</v>
      </c>
      <c r="L36" s="18" t="s">
        <v>28</v>
      </c>
      <c r="M36" s="18">
        <v>2.5</v>
      </c>
      <c r="N36" s="18">
        <v>3.4000000000000002E-2</v>
      </c>
      <c r="O36" s="21">
        <v>6</v>
      </c>
      <c r="P36" s="22">
        <v>55</v>
      </c>
      <c r="Q36" s="24">
        <f>0.19*O36</f>
        <v>1.1400000000000001</v>
      </c>
      <c r="R36" s="23">
        <v>15</v>
      </c>
      <c r="S36" s="18"/>
      <c r="T36" s="18">
        <f t="shared" si="5"/>
        <v>14.4</v>
      </c>
      <c r="U36" s="25">
        <f t="shared" si="0"/>
        <v>1.0200000000000001E-3</v>
      </c>
      <c r="V36" s="18"/>
      <c r="W36" s="24">
        <f>SUM(O36:V36)</f>
        <v>91.541020000000003</v>
      </c>
    </row>
    <row r="37" spans="2:23" x14ac:dyDescent="0.3">
      <c r="B37" s="18" t="s">
        <v>100</v>
      </c>
      <c r="C37" s="18" t="s">
        <v>34</v>
      </c>
      <c r="D37" s="18" t="s">
        <v>35</v>
      </c>
      <c r="E37" s="18" t="s">
        <v>25</v>
      </c>
      <c r="F37" s="18" t="s">
        <v>101</v>
      </c>
      <c r="G37" s="19">
        <v>46198</v>
      </c>
      <c r="H37" s="18" t="s">
        <v>101</v>
      </c>
      <c r="I37" s="20">
        <v>46200</v>
      </c>
      <c r="J37" s="20">
        <v>46200</v>
      </c>
      <c r="K37" s="18" t="s">
        <v>27</v>
      </c>
      <c r="L37" s="27" t="s">
        <v>42</v>
      </c>
      <c r="M37" s="18">
        <v>7.3</v>
      </c>
      <c r="N37" s="18">
        <v>0.08</v>
      </c>
      <c r="O37" s="21">
        <v>13.5</v>
      </c>
      <c r="P37" s="22">
        <v>82</v>
      </c>
      <c r="Q37" s="24">
        <f>0.19*O37</f>
        <v>2.5649999999999999</v>
      </c>
      <c r="R37" s="23">
        <v>15</v>
      </c>
      <c r="S37" s="18">
        <v>160.5</v>
      </c>
      <c r="T37" s="18">
        <f t="shared" si="5"/>
        <v>14.4</v>
      </c>
      <c r="U37" s="25">
        <f t="shared" si="0"/>
        <v>2.3999999999999998E-3</v>
      </c>
      <c r="V37" s="18"/>
      <c r="W37" s="24">
        <f>SUM(O37:V37)</f>
        <v>287.9674</v>
      </c>
    </row>
    <row r="38" spans="2:23" x14ac:dyDescent="0.3">
      <c r="B38" s="18" t="s">
        <v>98</v>
      </c>
      <c r="C38" s="18" t="s">
        <v>34</v>
      </c>
      <c r="D38" s="18" t="s">
        <v>35</v>
      </c>
      <c r="E38" s="18" t="s">
        <v>25</v>
      </c>
      <c r="F38" s="18" t="s">
        <v>102</v>
      </c>
      <c r="G38" s="19">
        <v>46198</v>
      </c>
      <c r="H38" s="18" t="s">
        <v>102</v>
      </c>
      <c r="I38" s="20">
        <v>46200</v>
      </c>
      <c r="J38" s="20">
        <v>46200</v>
      </c>
      <c r="K38" s="18" t="s">
        <v>27</v>
      </c>
      <c r="L38" s="18" t="s">
        <v>28</v>
      </c>
      <c r="M38" s="18">
        <v>6.7</v>
      </c>
      <c r="N38" s="18">
        <v>9.5000000000000001E-2</v>
      </c>
      <c r="O38" s="21">
        <v>16</v>
      </c>
      <c r="P38" s="22">
        <v>55</v>
      </c>
      <c r="Q38" s="24">
        <f>0.19*O38</f>
        <v>3.04</v>
      </c>
      <c r="R38" s="23">
        <v>15</v>
      </c>
      <c r="S38" s="18"/>
      <c r="T38" s="18">
        <f t="shared" si="5"/>
        <v>14.4</v>
      </c>
      <c r="U38" s="25">
        <f t="shared" si="0"/>
        <v>2.8500000000000001E-3</v>
      </c>
      <c r="V38" s="18"/>
      <c r="W38" s="24">
        <f>SUM(O38:V38)</f>
        <v>103.44285000000001</v>
      </c>
    </row>
    <row r="39" spans="2:23" x14ac:dyDescent="0.3">
      <c r="B39" s="18" t="s">
        <v>98</v>
      </c>
      <c r="C39" s="18" t="s">
        <v>34</v>
      </c>
      <c r="D39" s="18" t="s">
        <v>35</v>
      </c>
      <c r="E39" s="18" t="s">
        <v>25</v>
      </c>
      <c r="F39" s="18" t="s">
        <v>103</v>
      </c>
      <c r="G39" s="19">
        <v>46198</v>
      </c>
      <c r="H39" s="18" t="s">
        <v>103</v>
      </c>
      <c r="I39" s="20">
        <v>46200</v>
      </c>
      <c r="J39" s="20">
        <v>46200</v>
      </c>
      <c r="K39" s="18" t="s">
        <v>27</v>
      </c>
      <c r="L39" s="18" t="s">
        <v>28</v>
      </c>
      <c r="M39" s="18">
        <v>13.85</v>
      </c>
      <c r="N39" s="18">
        <v>0.20200000000000001</v>
      </c>
      <c r="O39" s="21">
        <v>34</v>
      </c>
      <c r="P39" s="22">
        <v>55</v>
      </c>
      <c r="Q39" s="24">
        <f>0.19*O39</f>
        <v>6.46</v>
      </c>
      <c r="R39" s="23">
        <v>15</v>
      </c>
      <c r="S39" s="18"/>
      <c r="T39" s="18">
        <f>144/10</f>
        <v>14.4</v>
      </c>
      <c r="U39" s="25">
        <f t="shared" si="0"/>
        <v>6.0600000000000003E-3</v>
      </c>
      <c r="V39" s="18"/>
      <c r="W39" s="24">
        <f>SUM(O39:V39)</f>
        <v>124.86606</v>
      </c>
    </row>
    <row r="40" spans="2:23" x14ac:dyDescent="0.3">
      <c r="B40" s="18" t="s">
        <v>104</v>
      </c>
      <c r="C40" s="18" t="s">
        <v>30</v>
      </c>
      <c r="D40" s="18" t="s">
        <v>45</v>
      </c>
      <c r="E40" s="18" t="s">
        <v>25</v>
      </c>
      <c r="F40" s="18" t="s">
        <v>105</v>
      </c>
      <c r="G40" s="19">
        <v>46199</v>
      </c>
      <c r="H40" s="18" t="s">
        <v>105</v>
      </c>
      <c r="I40" s="20">
        <v>46201</v>
      </c>
      <c r="J40" s="20">
        <v>46201</v>
      </c>
      <c r="K40" s="18" t="s">
        <v>27</v>
      </c>
      <c r="L40" s="18" t="s">
        <v>28</v>
      </c>
      <c r="M40" s="18">
        <v>7.3</v>
      </c>
      <c r="N40" s="18">
        <v>7.4999999999999997E-2</v>
      </c>
      <c r="O40" s="21">
        <v>12.5</v>
      </c>
      <c r="P40" s="22">
        <f>O40*1.15</f>
        <v>14.374999999999998</v>
      </c>
      <c r="Q40" s="24">
        <f>O40*0.2</f>
        <v>2.5</v>
      </c>
      <c r="R40" s="23">
        <v>15</v>
      </c>
      <c r="S40" s="18"/>
      <c r="T40" s="24">
        <f t="shared" ref="T40:T45" si="6">144/7</f>
        <v>20.571428571428573</v>
      </c>
      <c r="U40" s="25">
        <f t="shared" si="0"/>
        <v>2.2499999999999998E-3</v>
      </c>
      <c r="V40" s="18"/>
      <c r="W40" s="24">
        <f>SUM(O40:V40)</f>
        <v>64.948678571428573</v>
      </c>
    </row>
    <row r="41" spans="2:23" x14ac:dyDescent="0.3">
      <c r="B41" s="18" t="s">
        <v>106</v>
      </c>
      <c r="C41" s="18" t="s">
        <v>44</v>
      </c>
      <c r="D41" s="18" t="s">
        <v>45</v>
      </c>
      <c r="E41" s="18" t="s">
        <v>46</v>
      </c>
      <c r="F41" s="18" t="s">
        <v>107</v>
      </c>
      <c r="G41" s="19">
        <v>46199</v>
      </c>
      <c r="H41" s="18" t="s">
        <v>107</v>
      </c>
      <c r="I41" s="20">
        <v>46200</v>
      </c>
      <c r="J41" s="20">
        <v>46200</v>
      </c>
      <c r="K41" s="18" t="s">
        <v>27</v>
      </c>
      <c r="L41" s="18" t="s">
        <v>28</v>
      </c>
      <c r="M41" s="18">
        <v>3.45</v>
      </c>
      <c r="N41" s="18">
        <v>6.0999999999999999E-2</v>
      </c>
      <c r="O41" s="21">
        <v>10.5</v>
      </c>
      <c r="P41" s="22">
        <f>O41*3.64</f>
        <v>38.22</v>
      </c>
      <c r="Q41" s="24">
        <f>O41*0.3</f>
        <v>3.15</v>
      </c>
      <c r="R41" s="23">
        <v>15</v>
      </c>
      <c r="S41" s="18"/>
      <c r="T41" s="24">
        <f t="shared" si="6"/>
        <v>20.571428571428573</v>
      </c>
      <c r="U41" s="25">
        <f t="shared" si="0"/>
        <v>1.8299999999999998E-3</v>
      </c>
      <c r="V41" s="18"/>
      <c r="W41" s="24">
        <f>SUM(O41:V41)</f>
        <v>87.443258571428572</v>
      </c>
    </row>
    <row r="42" spans="2:23" x14ac:dyDescent="0.3">
      <c r="B42" s="18" t="s">
        <v>108</v>
      </c>
      <c r="C42" s="18" t="s">
        <v>44</v>
      </c>
      <c r="D42" s="18" t="s">
        <v>109</v>
      </c>
      <c r="E42" s="18" t="s">
        <v>25</v>
      </c>
      <c r="F42" s="18" t="s">
        <v>110</v>
      </c>
      <c r="G42" s="19">
        <v>46199</v>
      </c>
      <c r="H42" s="18" t="s">
        <v>110</v>
      </c>
      <c r="I42" s="20">
        <v>46200</v>
      </c>
      <c r="J42" s="19">
        <v>46203</v>
      </c>
      <c r="K42" s="18" t="s">
        <v>27</v>
      </c>
      <c r="L42" s="18" t="s">
        <v>28</v>
      </c>
      <c r="M42" s="18">
        <v>232.85</v>
      </c>
      <c r="N42" s="18">
        <v>5.3390000000000004</v>
      </c>
      <c r="O42" s="21">
        <v>890</v>
      </c>
      <c r="P42" s="22">
        <f>O42*5.02</f>
        <v>4467.7999999999993</v>
      </c>
      <c r="Q42" s="24">
        <f>O42*0.2</f>
        <v>178</v>
      </c>
      <c r="R42" s="23">
        <v>15</v>
      </c>
      <c r="S42" s="18"/>
      <c r="T42" s="24">
        <f t="shared" si="6"/>
        <v>20.571428571428573</v>
      </c>
      <c r="U42" s="25">
        <f t="shared" si="0"/>
        <v>0.16017000000000001</v>
      </c>
      <c r="V42" s="18"/>
      <c r="W42" s="24">
        <f>SUM(O42:V42)</f>
        <v>5571.5315985714278</v>
      </c>
    </row>
    <row r="43" spans="2:23" x14ac:dyDescent="0.3">
      <c r="B43" s="18" t="s">
        <v>111</v>
      </c>
      <c r="C43" s="18" t="s">
        <v>65</v>
      </c>
      <c r="D43" s="18" t="s">
        <v>35</v>
      </c>
      <c r="E43" s="18" t="s">
        <v>66</v>
      </c>
      <c r="F43" s="18" t="s">
        <v>112</v>
      </c>
      <c r="G43" s="19">
        <v>46199</v>
      </c>
      <c r="H43" s="18" t="s">
        <v>112</v>
      </c>
      <c r="I43" s="20">
        <v>46202</v>
      </c>
      <c r="J43" s="19">
        <v>46204</v>
      </c>
      <c r="K43" s="18" t="s">
        <v>27</v>
      </c>
      <c r="L43" s="27" t="s">
        <v>42</v>
      </c>
      <c r="M43" s="18">
        <v>22.9</v>
      </c>
      <c r="N43" s="18">
        <v>0.16700000000000001</v>
      </c>
      <c r="O43" s="21">
        <v>28</v>
      </c>
      <c r="P43" s="22">
        <f>O43*5.1</f>
        <v>142.79999999999998</v>
      </c>
      <c r="Q43" s="24">
        <f>O43*0.4</f>
        <v>11.200000000000001</v>
      </c>
      <c r="R43" s="23">
        <v>15</v>
      </c>
      <c r="S43" s="18">
        <v>160.5</v>
      </c>
      <c r="T43" s="24">
        <f t="shared" si="6"/>
        <v>20.571428571428573</v>
      </c>
      <c r="U43" s="25">
        <f t="shared" si="0"/>
        <v>5.0099999999999997E-3</v>
      </c>
      <c r="V43" s="18"/>
      <c r="W43" s="24">
        <f>SUM(O43:V43)</f>
        <v>378.07643857142858</v>
      </c>
    </row>
    <row r="44" spans="2:23" x14ac:dyDescent="0.3">
      <c r="B44" s="18" t="s">
        <v>94</v>
      </c>
      <c r="C44" s="18" t="s">
        <v>50</v>
      </c>
      <c r="D44" s="18" t="s">
        <v>45</v>
      </c>
      <c r="E44" s="18" t="s">
        <v>46</v>
      </c>
      <c r="F44" s="18" t="s">
        <v>113</v>
      </c>
      <c r="G44" s="19">
        <v>46199</v>
      </c>
      <c r="H44" s="18" t="s">
        <v>113</v>
      </c>
      <c r="I44" s="20">
        <v>46200</v>
      </c>
      <c r="J44" s="20">
        <v>46200</v>
      </c>
      <c r="K44" s="18" t="s">
        <v>27</v>
      </c>
      <c r="L44" s="18" t="s">
        <v>28</v>
      </c>
      <c r="M44" s="18">
        <v>15.25</v>
      </c>
      <c r="N44" s="18">
        <v>0.09</v>
      </c>
      <c r="O44" s="21">
        <v>15.5</v>
      </c>
      <c r="P44" s="22">
        <v>86</v>
      </c>
      <c r="Q44" s="24">
        <f>O44*0.3</f>
        <v>4.6499999999999995</v>
      </c>
      <c r="R44" s="23">
        <v>15</v>
      </c>
      <c r="S44" s="18"/>
      <c r="T44" s="24">
        <f t="shared" si="6"/>
        <v>20.571428571428573</v>
      </c>
      <c r="U44" s="25">
        <f t="shared" si="0"/>
        <v>2.6999999999999997E-3</v>
      </c>
      <c r="V44" s="18"/>
      <c r="W44" s="24">
        <f>SUM(O44:V44)</f>
        <v>141.72412857142859</v>
      </c>
    </row>
    <row r="45" spans="2:23" x14ac:dyDescent="0.3">
      <c r="B45" s="18" t="s">
        <v>114</v>
      </c>
      <c r="C45" s="18" t="s">
        <v>34</v>
      </c>
      <c r="D45" s="18" t="s">
        <v>31</v>
      </c>
      <c r="E45" s="18" t="s">
        <v>25</v>
      </c>
      <c r="F45" s="18" t="s">
        <v>115</v>
      </c>
      <c r="G45" s="19">
        <v>46199</v>
      </c>
      <c r="H45" s="18" t="s">
        <v>115</v>
      </c>
      <c r="I45" s="20">
        <v>46201</v>
      </c>
      <c r="J45" s="20">
        <v>46201</v>
      </c>
      <c r="K45" s="18" t="s">
        <v>27</v>
      </c>
      <c r="L45" s="18" t="s">
        <v>28</v>
      </c>
      <c r="M45" s="18">
        <v>12.7</v>
      </c>
      <c r="N45" s="18">
        <v>0.155</v>
      </c>
      <c r="O45" s="21">
        <v>26</v>
      </c>
      <c r="P45" s="22">
        <v>55</v>
      </c>
      <c r="Q45" s="24">
        <f>O45*0.45</f>
        <v>11.700000000000001</v>
      </c>
      <c r="R45" s="23">
        <v>15</v>
      </c>
      <c r="S45" s="18"/>
      <c r="T45" s="24">
        <f t="shared" si="6"/>
        <v>20.571428571428573</v>
      </c>
      <c r="U45" s="25">
        <f t="shared" si="0"/>
        <v>4.6499999999999996E-3</v>
      </c>
      <c r="V45" s="18"/>
      <c r="W45" s="24">
        <f>SUM(O45:V45)</f>
        <v>128.27607857142857</v>
      </c>
    </row>
    <row r="46" spans="2:23" x14ac:dyDescent="0.3">
      <c r="B46" s="18" t="s">
        <v>114</v>
      </c>
      <c r="C46" s="18" t="s">
        <v>34</v>
      </c>
      <c r="D46" s="18" t="s">
        <v>31</v>
      </c>
      <c r="E46" s="18" t="s">
        <v>25</v>
      </c>
      <c r="F46" s="18" t="s">
        <v>116</v>
      </c>
      <c r="G46" s="19">
        <v>46199</v>
      </c>
      <c r="H46" s="18" t="s">
        <v>116</v>
      </c>
      <c r="I46" s="20">
        <v>46201</v>
      </c>
      <c r="J46" s="20">
        <v>46201</v>
      </c>
      <c r="K46" s="18" t="s">
        <v>27</v>
      </c>
      <c r="L46" s="18" t="s">
        <v>28</v>
      </c>
      <c r="M46" s="18">
        <v>2.95</v>
      </c>
      <c r="N46" s="18">
        <v>3.2000000000000001E-2</v>
      </c>
      <c r="O46" s="21">
        <v>5.5</v>
      </c>
      <c r="P46" s="22">
        <v>55</v>
      </c>
      <c r="Q46" s="24">
        <f>O46*0.45</f>
        <v>2.4750000000000001</v>
      </c>
      <c r="R46" s="23">
        <v>15</v>
      </c>
      <c r="S46" s="18"/>
      <c r="T46" s="24">
        <f>144/7</f>
        <v>20.571428571428573</v>
      </c>
      <c r="U46" s="25">
        <f t="shared" si="0"/>
        <v>9.6000000000000002E-4</v>
      </c>
      <c r="V46" s="18"/>
      <c r="W46" s="24">
        <f>SUM(O46:V46)</f>
        <v>98.54738857142857</v>
      </c>
    </row>
    <row r="47" spans="2:23" x14ac:dyDescent="0.3">
      <c r="B47" s="2" t="s">
        <v>117</v>
      </c>
      <c r="C47" s="2" t="s">
        <v>50</v>
      </c>
      <c r="D47" s="18" t="s">
        <v>45</v>
      </c>
      <c r="E47" s="18" t="s">
        <v>46</v>
      </c>
      <c r="F47" s="2" t="s">
        <v>118</v>
      </c>
      <c r="G47" s="19">
        <v>46202</v>
      </c>
      <c r="H47" s="2" t="s">
        <v>118</v>
      </c>
      <c r="I47" s="20">
        <v>46204</v>
      </c>
      <c r="J47" s="20">
        <v>46204</v>
      </c>
      <c r="K47" s="2" t="s">
        <v>27</v>
      </c>
      <c r="L47" s="2" t="s">
        <v>28</v>
      </c>
      <c r="M47" s="2">
        <v>6.85</v>
      </c>
      <c r="N47" s="2">
        <v>7.0000000000000007E-2</v>
      </c>
      <c r="O47" s="2">
        <v>13</v>
      </c>
      <c r="P47" s="22">
        <v>86</v>
      </c>
      <c r="Q47" s="24">
        <f>O47*0.3</f>
        <v>3.9</v>
      </c>
      <c r="R47" s="23">
        <v>15</v>
      </c>
      <c r="S47" s="18"/>
      <c r="T47" s="24">
        <f t="shared" ref="T47:T52" si="7">144/7</f>
        <v>20.571428571428573</v>
      </c>
      <c r="U47" s="25">
        <f t="shared" si="0"/>
        <v>2.1000000000000003E-3</v>
      </c>
      <c r="V47" s="18"/>
      <c r="W47" s="24">
        <f>SUM(O47:V47)</f>
        <v>138.4735285714286</v>
      </c>
    </row>
    <row r="48" spans="2:23" x14ac:dyDescent="0.3">
      <c r="B48" s="2" t="s">
        <v>119</v>
      </c>
      <c r="C48" s="2" t="s">
        <v>44</v>
      </c>
      <c r="D48" s="18" t="s">
        <v>45</v>
      </c>
      <c r="E48" s="18" t="s">
        <v>46</v>
      </c>
      <c r="F48" s="2" t="s">
        <v>120</v>
      </c>
      <c r="G48" s="19">
        <v>46202</v>
      </c>
      <c r="H48" s="2" t="s">
        <v>120</v>
      </c>
      <c r="I48" s="20">
        <v>46203</v>
      </c>
      <c r="J48" s="20">
        <v>46204</v>
      </c>
      <c r="K48" s="2" t="s">
        <v>27</v>
      </c>
      <c r="L48" s="18" t="s">
        <v>28</v>
      </c>
      <c r="M48" s="2">
        <v>319.85000000000002</v>
      </c>
      <c r="N48" s="2">
        <v>2.254</v>
      </c>
      <c r="O48" s="2">
        <v>376</v>
      </c>
      <c r="P48" s="22">
        <f>O48*5.02</f>
        <v>1887.5199999999998</v>
      </c>
      <c r="Q48" s="24">
        <f>O48*0.3</f>
        <v>112.8</v>
      </c>
      <c r="R48" s="23">
        <v>15</v>
      </c>
      <c r="S48" s="18"/>
      <c r="T48" s="24">
        <f t="shared" si="7"/>
        <v>20.571428571428573</v>
      </c>
      <c r="U48" s="25">
        <f t="shared" si="0"/>
        <v>6.762E-2</v>
      </c>
      <c r="V48" s="18"/>
      <c r="W48" s="24">
        <f>SUM(O48:V48)</f>
        <v>2411.959048571428</v>
      </c>
    </row>
    <row r="49" spans="2:23" x14ac:dyDescent="0.3">
      <c r="B49" s="3" t="s">
        <v>121</v>
      </c>
      <c r="C49" s="2" t="s">
        <v>65</v>
      </c>
      <c r="D49" s="18" t="s">
        <v>35</v>
      </c>
      <c r="E49" s="18" t="s">
        <v>66</v>
      </c>
      <c r="F49" s="2" t="s">
        <v>122</v>
      </c>
      <c r="G49" s="19">
        <v>46202</v>
      </c>
      <c r="H49" s="2" t="s">
        <v>122</v>
      </c>
      <c r="I49" s="20">
        <v>46205</v>
      </c>
      <c r="J49" s="20">
        <v>46207</v>
      </c>
      <c r="K49" s="2" t="s">
        <v>27</v>
      </c>
      <c r="L49" s="27" t="s">
        <v>42</v>
      </c>
      <c r="M49" s="2">
        <v>72.650000000000006</v>
      </c>
      <c r="N49" s="2">
        <v>0.441</v>
      </c>
      <c r="O49" s="2">
        <v>73.5</v>
      </c>
      <c r="P49" s="22">
        <f>O49*5.1</f>
        <v>374.84999999999997</v>
      </c>
      <c r="Q49" s="24">
        <f>O49*0.4</f>
        <v>29.400000000000002</v>
      </c>
      <c r="R49" s="23">
        <v>15</v>
      </c>
      <c r="S49" s="18">
        <v>160.5</v>
      </c>
      <c r="T49" s="24">
        <f t="shared" si="7"/>
        <v>20.571428571428573</v>
      </c>
      <c r="U49" s="25">
        <f t="shared" si="0"/>
        <v>1.323E-2</v>
      </c>
      <c r="V49" s="18"/>
      <c r="W49" s="24">
        <f>SUM(O49:V49)</f>
        <v>673.83465857142858</v>
      </c>
    </row>
    <row r="50" spans="2:23" x14ac:dyDescent="0.3">
      <c r="B50" s="2" t="s">
        <v>123</v>
      </c>
      <c r="C50" s="2" t="s">
        <v>30</v>
      </c>
      <c r="D50" s="18" t="s">
        <v>45</v>
      </c>
      <c r="E50" s="18" t="s">
        <v>25</v>
      </c>
      <c r="F50" s="2" t="s">
        <v>124</v>
      </c>
      <c r="G50" s="19">
        <v>46202</v>
      </c>
      <c r="H50" s="2" t="s">
        <v>124</v>
      </c>
      <c r="I50" s="20">
        <v>46204</v>
      </c>
      <c r="J50" s="20">
        <v>46204</v>
      </c>
      <c r="K50" s="2" t="s">
        <v>27</v>
      </c>
      <c r="L50" s="2" t="s">
        <v>28</v>
      </c>
      <c r="M50" s="2">
        <v>462.9</v>
      </c>
      <c r="N50" s="2">
        <v>3.9609999999999999</v>
      </c>
      <c r="O50" s="2">
        <v>660.5</v>
      </c>
      <c r="P50" s="22">
        <f>O50*1.15</f>
        <v>759.57499999999993</v>
      </c>
      <c r="Q50" s="24">
        <f>O50*0.2</f>
        <v>132.1</v>
      </c>
      <c r="R50" s="23">
        <v>15</v>
      </c>
      <c r="S50" s="18"/>
      <c r="T50" s="24">
        <f t="shared" si="7"/>
        <v>20.571428571428573</v>
      </c>
      <c r="U50" s="25">
        <f t="shared" si="0"/>
        <v>0.11882999999999999</v>
      </c>
      <c r="V50" s="18"/>
      <c r="W50" s="24">
        <f>SUM(O50:V50)</f>
        <v>1587.8652585714283</v>
      </c>
    </row>
    <row r="51" spans="2:23" x14ac:dyDescent="0.3">
      <c r="B51" s="3" t="s">
        <v>125</v>
      </c>
      <c r="C51" s="2" t="s">
        <v>34</v>
      </c>
      <c r="D51" s="18" t="s">
        <v>35</v>
      </c>
      <c r="E51" s="18" t="s">
        <v>25</v>
      </c>
      <c r="F51" s="2" t="s">
        <v>126</v>
      </c>
      <c r="G51" s="19">
        <v>46202</v>
      </c>
      <c r="H51" s="2" t="s">
        <v>126</v>
      </c>
      <c r="I51" s="20">
        <v>46204</v>
      </c>
      <c r="J51" s="20">
        <v>46204</v>
      </c>
      <c r="K51" s="2" t="s">
        <v>27</v>
      </c>
      <c r="L51" s="4" t="s">
        <v>42</v>
      </c>
      <c r="M51" s="2">
        <v>18.3</v>
      </c>
      <c r="N51" s="2">
        <v>0.13600000000000001</v>
      </c>
      <c r="O51" s="2">
        <v>23</v>
      </c>
      <c r="P51" s="22">
        <v>82</v>
      </c>
      <c r="Q51" s="24">
        <f>0.19*O51</f>
        <v>4.37</v>
      </c>
      <c r="R51" s="23">
        <v>15</v>
      </c>
      <c r="S51" s="18">
        <v>160.5</v>
      </c>
      <c r="T51" s="24">
        <f t="shared" si="7"/>
        <v>20.571428571428573</v>
      </c>
      <c r="U51" s="25">
        <f t="shared" si="0"/>
        <v>4.0800000000000003E-3</v>
      </c>
      <c r="V51" s="18"/>
      <c r="W51" s="24">
        <f>SUM(O51:V51)</f>
        <v>305.44550857142855</v>
      </c>
    </row>
    <row r="52" spans="2:23" x14ac:dyDescent="0.3">
      <c r="B52" s="3" t="s">
        <v>127</v>
      </c>
      <c r="C52" s="2" t="s">
        <v>34</v>
      </c>
      <c r="D52" s="18" t="s">
        <v>35</v>
      </c>
      <c r="E52" s="18" t="s">
        <v>25</v>
      </c>
      <c r="F52" s="2" t="s">
        <v>128</v>
      </c>
      <c r="G52" s="19">
        <v>46202</v>
      </c>
      <c r="H52" s="2" t="s">
        <v>128</v>
      </c>
      <c r="I52" s="20">
        <v>46204</v>
      </c>
      <c r="J52" s="20">
        <v>46204</v>
      </c>
      <c r="K52" s="2" t="s">
        <v>27</v>
      </c>
      <c r="L52" s="2" t="s">
        <v>28</v>
      </c>
      <c r="M52" s="2">
        <v>6.65</v>
      </c>
      <c r="N52" s="2">
        <v>6.3E-2</v>
      </c>
      <c r="O52" s="2">
        <v>10.5</v>
      </c>
      <c r="P52" s="22">
        <v>55</v>
      </c>
      <c r="Q52" s="24">
        <f>0.19*O52</f>
        <v>1.9950000000000001</v>
      </c>
      <c r="R52" s="23">
        <v>15</v>
      </c>
      <c r="S52" s="18"/>
      <c r="T52" s="24">
        <f t="shared" si="7"/>
        <v>20.571428571428573</v>
      </c>
      <c r="U52" s="25">
        <f t="shared" si="0"/>
        <v>1.89E-3</v>
      </c>
      <c r="V52" s="18"/>
      <c r="W52" s="24">
        <f>SUM(O52:V52)</f>
        <v>103.06831857142858</v>
      </c>
    </row>
    <row r="53" spans="2:23" x14ac:dyDescent="0.3">
      <c r="B53" s="3" t="s">
        <v>127</v>
      </c>
      <c r="C53" s="2" t="s">
        <v>34</v>
      </c>
      <c r="D53" s="18" t="s">
        <v>35</v>
      </c>
      <c r="E53" s="18" t="s">
        <v>25</v>
      </c>
      <c r="F53" s="2" t="s">
        <v>129</v>
      </c>
      <c r="G53" s="19">
        <v>46202</v>
      </c>
      <c r="H53" s="2" t="s">
        <v>129</v>
      </c>
      <c r="I53" s="20">
        <v>46204</v>
      </c>
      <c r="J53" s="20">
        <v>46204</v>
      </c>
      <c r="K53" s="2" t="s">
        <v>27</v>
      </c>
      <c r="L53" s="2" t="s">
        <v>28</v>
      </c>
      <c r="M53" s="2">
        <v>15.25</v>
      </c>
      <c r="N53" s="2">
        <v>0.182</v>
      </c>
      <c r="O53" s="2">
        <v>30.5</v>
      </c>
      <c r="P53" s="22">
        <v>55</v>
      </c>
      <c r="Q53" s="24">
        <f>0.19*O53</f>
        <v>5.7949999999999999</v>
      </c>
      <c r="R53" s="23">
        <v>15</v>
      </c>
      <c r="S53" s="18"/>
      <c r="T53" s="24">
        <f>144/7</f>
        <v>20.571428571428573</v>
      </c>
      <c r="U53" s="25">
        <f t="shared" si="0"/>
        <v>5.4599999999999996E-3</v>
      </c>
      <c r="V53" s="18"/>
      <c r="W53" s="24">
        <f>SUM(O53:V53)</f>
        <v>126.87188857142857</v>
      </c>
    </row>
    <row r="54" spans="2:23" x14ac:dyDescent="0.3">
      <c r="B54" s="2" t="s">
        <v>130</v>
      </c>
      <c r="C54" s="2" t="s">
        <v>50</v>
      </c>
      <c r="D54" s="18" t="s">
        <v>45</v>
      </c>
      <c r="E54" s="18" t="s">
        <v>46</v>
      </c>
      <c r="F54" s="2" t="s">
        <v>131</v>
      </c>
      <c r="G54" s="19">
        <v>46203</v>
      </c>
      <c r="H54" s="2" t="s">
        <v>131</v>
      </c>
      <c r="I54" s="20">
        <v>46204</v>
      </c>
      <c r="J54" s="20">
        <v>46204</v>
      </c>
      <c r="K54" s="2" t="s">
        <v>27</v>
      </c>
      <c r="L54" s="2" t="s">
        <v>28</v>
      </c>
      <c r="M54" s="2">
        <v>4.75</v>
      </c>
      <c r="N54" s="2">
        <v>4.5999999999999999E-2</v>
      </c>
      <c r="O54" s="2">
        <v>8</v>
      </c>
      <c r="P54" s="22">
        <v>86</v>
      </c>
      <c r="Q54" s="24">
        <f>O54*0.3</f>
        <v>2.4</v>
      </c>
      <c r="R54" s="23">
        <v>15</v>
      </c>
      <c r="S54" s="18"/>
      <c r="T54" s="24">
        <f t="shared" ref="T54:T66" si="8">144/17</f>
        <v>8.4705882352941178</v>
      </c>
      <c r="U54" s="25">
        <f t="shared" si="0"/>
        <v>1.3799999999999999E-3</v>
      </c>
      <c r="V54" s="18"/>
      <c r="W54" s="24">
        <f>SUM(O54:V54)</f>
        <v>119.87196823529412</v>
      </c>
    </row>
    <row r="55" spans="2:23" x14ac:dyDescent="0.3">
      <c r="B55" s="2" t="s">
        <v>132</v>
      </c>
      <c r="C55" s="2" t="s">
        <v>50</v>
      </c>
      <c r="D55" s="18" t="s">
        <v>35</v>
      </c>
      <c r="E55" s="18" t="s">
        <v>66</v>
      </c>
      <c r="F55" s="2" t="s">
        <v>133</v>
      </c>
      <c r="G55" s="19">
        <v>46203</v>
      </c>
      <c r="H55" s="2" t="s">
        <v>133</v>
      </c>
      <c r="I55" s="20">
        <v>46205</v>
      </c>
      <c r="J55" s="20">
        <v>46205</v>
      </c>
      <c r="K55" s="2" t="s">
        <v>27</v>
      </c>
      <c r="L55" s="4" t="s">
        <v>42</v>
      </c>
      <c r="M55" s="2">
        <v>11.15</v>
      </c>
      <c r="N55" s="2">
        <v>0.124</v>
      </c>
      <c r="O55" s="2">
        <v>21</v>
      </c>
      <c r="P55" s="22">
        <v>150</v>
      </c>
      <c r="Q55" s="24">
        <f>O55*0.4</f>
        <v>8.4</v>
      </c>
      <c r="R55" s="23">
        <v>15</v>
      </c>
      <c r="S55" s="18">
        <v>160.5</v>
      </c>
      <c r="T55" s="24">
        <f t="shared" si="8"/>
        <v>8.4705882352941178</v>
      </c>
      <c r="U55" s="25">
        <f t="shared" si="0"/>
        <v>3.7199999999999998E-3</v>
      </c>
      <c r="V55" s="18"/>
      <c r="W55" s="24">
        <f>SUM(O55:V55)</f>
        <v>363.37430823529411</v>
      </c>
    </row>
    <row r="56" spans="2:23" x14ac:dyDescent="0.3">
      <c r="B56" s="2" t="s">
        <v>134</v>
      </c>
      <c r="C56" s="2" t="s">
        <v>30</v>
      </c>
      <c r="D56" s="18" t="s">
        <v>45</v>
      </c>
      <c r="E56" s="18" t="s">
        <v>25</v>
      </c>
      <c r="F56" s="2" t="s">
        <v>135</v>
      </c>
      <c r="G56" s="19">
        <v>46203</v>
      </c>
      <c r="H56" s="2" t="s">
        <v>135</v>
      </c>
      <c r="I56" s="20">
        <v>46204</v>
      </c>
      <c r="J56" s="20">
        <v>46204</v>
      </c>
      <c r="K56" s="2" t="s">
        <v>27</v>
      </c>
      <c r="L56" s="2" t="s">
        <v>28</v>
      </c>
      <c r="M56" s="2">
        <v>165.05</v>
      </c>
      <c r="N56" s="2">
        <v>2.34</v>
      </c>
      <c r="O56" s="2">
        <v>390</v>
      </c>
      <c r="P56" s="22">
        <f>O56*1.15</f>
        <v>448.49999999999994</v>
      </c>
      <c r="Q56" s="24">
        <f>O56*0.2</f>
        <v>78</v>
      </c>
      <c r="R56" s="23">
        <v>15</v>
      </c>
      <c r="S56" s="18"/>
      <c r="T56" s="24">
        <f t="shared" si="8"/>
        <v>8.4705882352941178</v>
      </c>
      <c r="U56" s="25">
        <f t="shared" si="0"/>
        <v>7.0199999999999999E-2</v>
      </c>
      <c r="V56" s="18"/>
      <c r="W56" s="24">
        <f>SUM(O56:V56)</f>
        <v>940.04078823529414</v>
      </c>
    </row>
    <row r="57" spans="2:23" x14ac:dyDescent="0.3">
      <c r="B57" s="3" t="s">
        <v>136</v>
      </c>
      <c r="C57" s="2" t="s">
        <v>44</v>
      </c>
      <c r="D57" s="18" t="s">
        <v>31</v>
      </c>
      <c r="E57" s="18" t="s">
        <v>25</v>
      </c>
      <c r="F57" s="2" t="s">
        <v>137</v>
      </c>
      <c r="G57" s="19">
        <v>46203</v>
      </c>
      <c r="H57" s="2" t="s">
        <v>137</v>
      </c>
      <c r="I57" s="20">
        <v>46205</v>
      </c>
      <c r="J57" s="20">
        <v>46207</v>
      </c>
      <c r="K57" s="2" t="s">
        <v>27</v>
      </c>
      <c r="L57" s="2" t="s">
        <v>28</v>
      </c>
      <c r="M57" s="2">
        <v>57.9</v>
      </c>
      <c r="N57" s="2">
        <v>0.68899999999999995</v>
      </c>
      <c r="O57" s="2">
        <v>116</v>
      </c>
      <c r="P57" s="22">
        <f>O57*5.17</f>
        <v>599.72</v>
      </c>
      <c r="Q57" s="24">
        <f>O57*1.5</f>
        <v>174</v>
      </c>
      <c r="R57" s="23">
        <v>15</v>
      </c>
      <c r="S57" s="18"/>
      <c r="T57" s="24">
        <f t="shared" si="8"/>
        <v>8.4705882352941178</v>
      </c>
      <c r="U57" s="25">
        <f t="shared" si="0"/>
        <v>2.0669999999999997E-2</v>
      </c>
      <c r="V57" s="18"/>
      <c r="W57" s="24">
        <f>SUM(O57:V57)</f>
        <v>913.21125823529417</v>
      </c>
    </row>
    <row r="58" spans="2:23" x14ac:dyDescent="0.3">
      <c r="B58" s="3" t="s">
        <v>136</v>
      </c>
      <c r="C58" s="2" t="s">
        <v>44</v>
      </c>
      <c r="D58" s="18" t="s">
        <v>31</v>
      </c>
      <c r="E58" s="18" t="s">
        <v>25</v>
      </c>
      <c r="F58" s="2" t="s">
        <v>138</v>
      </c>
      <c r="G58" s="19">
        <v>46203</v>
      </c>
      <c r="H58" s="2" t="s">
        <v>138</v>
      </c>
      <c r="I58" s="20">
        <v>46205</v>
      </c>
      <c r="J58" s="20">
        <v>46207</v>
      </c>
      <c r="K58" s="2" t="s">
        <v>27</v>
      </c>
      <c r="L58" s="2" t="s">
        <v>28</v>
      </c>
      <c r="M58" s="2">
        <v>357.55</v>
      </c>
      <c r="N58" s="2">
        <v>4.9180000000000001</v>
      </c>
      <c r="O58" s="2">
        <v>820</v>
      </c>
      <c r="P58" s="22">
        <f>O58*5.02</f>
        <v>4116.3999999999996</v>
      </c>
      <c r="Q58" s="24">
        <f>O58*1.5</f>
        <v>1230</v>
      </c>
      <c r="R58" s="23">
        <v>15</v>
      </c>
      <c r="S58" s="18"/>
      <c r="T58" s="24">
        <f t="shared" si="8"/>
        <v>8.4705882352941178</v>
      </c>
      <c r="U58" s="25">
        <f t="shared" si="0"/>
        <v>0.14754</v>
      </c>
      <c r="V58" s="18"/>
      <c r="W58" s="24">
        <f>SUM(O58:V58)</f>
        <v>6190.0181282352933</v>
      </c>
    </row>
    <row r="59" spans="2:23" x14ac:dyDescent="0.3">
      <c r="B59" s="3" t="s">
        <v>139</v>
      </c>
      <c r="C59" s="2" t="s">
        <v>65</v>
      </c>
      <c r="D59" s="18" t="s">
        <v>35</v>
      </c>
      <c r="E59" s="18" t="s">
        <v>66</v>
      </c>
      <c r="F59" s="2" t="s">
        <v>140</v>
      </c>
      <c r="G59" s="19">
        <v>46203</v>
      </c>
      <c r="H59" s="2" t="s">
        <v>140</v>
      </c>
      <c r="I59" s="20">
        <v>46205</v>
      </c>
      <c r="J59" s="20">
        <v>46205</v>
      </c>
      <c r="K59" s="2" t="s">
        <v>27</v>
      </c>
      <c r="L59" s="4" t="s">
        <v>42</v>
      </c>
      <c r="M59" s="2">
        <v>11.65</v>
      </c>
      <c r="N59" s="2">
        <v>9.1999999999999998E-2</v>
      </c>
      <c r="O59" s="2">
        <v>15.5</v>
      </c>
      <c r="P59" s="22">
        <v>86</v>
      </c>
      <c r="Q59" s="24">
        <f>O59*0.4</f>
        <v>6.2</v>
      </c>
      <c r="R59" s="23">
        <v>15</v>
      </c>
      <c r="S59" s="18">
        <v>160.5</v>
      </c>
      <c r="T59" s="24">
        <f t="shared" si="8"/>
        <v>8.4705882352941178</v>
      </c>
      <c r="U59" s="25">
        <f t="shared" si="0"/>
        <v>2.7599999999999999E-3</v>
      </c>
      <c r="V59" s="18"/>
      <c r="W59" s="24">
        <f>SUM(O59:V59)</f>
        <v>291.67334823529416</v>
      </c>
    </row>
    <row r="60" spans="2:23" x14ac:dyDescent="0.3">
      <c r="B60" s="3" t="s">
        <v>127</v>
      </c>
      <c r="C60" s="2" t="s">
        <v>34</v>
      </c>
      <c r="D60" s="18" t="s">
        <v>35</v>
      </c>
      <c r="E60" s="18" t="s">
        <v>25</v>
      </c>
      <c r="F60" s="2" t="s">
        <v>141</v>
      </c>
      <c r="G60" s="19">
        <v>46203</v>
      </c>
      <c r="H60" s="2" t="s">
        <v>141</v>
      </c>
      <c r="I60" s="20">
        <v>46204</v>
      </c>
      <c r="J60" s="20">
        <v>46204</v>
      </c>
      <c r="K60" s="2" t="s">
        <v>27</v>
      </c>
      <c r="L60" s="2" t="s">
        <v>28</v>
      </c>
      <c r="M60" s="2">
        <v>19.149999999999999</v>
      </c>
      <c r="N60" s="2">
        <v>0.154</v>
      </c>
      <c r="O60" s="2">
        <v>26</v>
      </c>
      <c r="P60" s="22">
        <v>55</v>
      </c>
      <c r="Q60" s="24">
        <f t="shared" ref="Q60:Q65" si="9">0.19*O60</f>
        <v>4.9400000000000004</v>
      </c>
      <c r="R60" s="23">
        <v>15</v>
      </c>
      <c r="S60" s="18"/>
      <c r="T60" s="24">
        <f t="shared" si="8"/>
        <v>8.4705882352941178</v>
      </c>
      <c r="U60" s="25">
        <f t="shared" si="0"/>
        <v>4.62E-3</v>
      </c>
      <c r="V60" s="18"/>
      <c r="W60" s="24">
        <f>SUM(O60:V60)</f>
        <v>109.41520823529412</v>
      </c>
    </row>
    <row r="61" spans="2:23" x14ac:dyDescent="0.3">
      <c r="B61" s="3" t="s">
        <v>125</v>
      </c>
      <c r="C61" s="2" t="s">
        <v>34</v>
      </c>
      <c r="D61" s="18" t="s">
        <v>35</v>
      </c>
      <c r="E61" s="18" t="s">
        <v>25</v>
      </c>
      <c r="F61" s="2" t="s">
        <v>142</v>
      </c>
      <c r="G61" s="19">
        <v>46203</v>
      </c>
      <c r="H61" s="2" t="s">
        <v>142</v>
      </c>
      <c r="I61" s="20">
        <v>46204</v>
      </c>
      <c r="J61" s="20">
        <v>46204</v>
      </c>
      <c r="K61" s="2" t="s">
        <v>27</v>
      </c>
      <c r="L61" s="4" t="s">
        <v>42</v>
      </c>
      <c r="M61" s="2">
        <v>2.4</v>
      </c>
      <c r="N61" s="2">
        <v>1.6E-2</v>
      </c>
      <c r="O61" s="2">
        <v>3</v>
      </c>
      <c r="P61" s="22">
        <v>82</v>
      </c>
      <c r="Q61" s="24">
        <f t="shared" si="9"/>
        <v>0.57000000000000006</v>
      </c>
      <c r="R61" s="23">
        <v>15</v>
      </c>
      <c r="S61" s="18">
        <v>160.5</v>
      </c>
      <c r="T61" s="24">
        <f t="shared" si="8"/>
        <v>8.4705882352941178</v>
      </c>
      <c r="U61" s="25">
        <f t="shared" si="0"/>
        <v>4.8000000000000001E-4</v>
      </c>
      <c r="V61" s="18"/>
      <c r="W61" s="24">
        <f>SUM(O61:V61)</f>
        <v>269.54106823529412</v>
      </c>
    </row>
    <row r="62" spans="2:23" x14ac:dyDescent="0.3">
      <c r="B62" s="3" t="s">
        <v>143</v>
      </c>
      <c r="C62" s="2" t="s">
        <v>34</v>
      </c>
      <c r="D62" s="18" t="s">
        <v>35</v>
      </c>
      <c r="E62" s="18" t="s">
        <v>25</v>
      </c>
      <c r="F62" s="2" t="s">
        <v>144</v>
      </c>
      <c r="G62" s="19">
        <v>46203</v>
      </c>
      <c r="H62" s="2" t="s">
        <v>144</v>
      </c>
      <c r="I62" s="20">
        <v>46209</v>
      </c>
      <c r="J62" s="20">
        <v>46209</v>
      </c>
      <c r="K62" s="2" t="s">
        <v>27</v>
      </c>
      <c r="L62" s="2" t="s">
        <v>28</v>
      </c>
      <c r="M62" s="2">
        <v>3.15</v>
      </c>
      <c r="N62" s="2">
        <v>2.7E-2</v>
      </c>
      <c r="O62" s="2">
        <v>4.5</v>
      </c>
      <c r="P62" s="22">
        <v>55</v>
      </c>
      <c r="Q62" s="24">
        <f t="shared" si="9"/>
        <v>0.85499999999999998</v>
      </c>
      <c r="R62" s="23">
        <v>15</v>
      </c>
      <c r="S62" s="18"/>
      <c r="T62" s="24">
        <f t="shared" si="8"/>
        <v>8.4705882352941178</v>
      </c>
      <c r="U62" s="25">
        <f t="shared" si="0"/>
        <v>8.0999999999999996E-4</v>
      </c>
      <c r="V62" s="18"/>
      <c r="W62" s="24">
        <f>SUM(O62:V62)</f>
        <v>83.826398235294107</v>
      </c>
    </row>
    <row r="63" spans="2:23" x14ac:dyDescent="0.3">
      <c r="B63" s="3" t="s">
        <v>143</v>
      </c>
      <c r="C63" s="2" t="s">
        <v>34</v>
      </c>
      <c r="D63" s="18" t="s">
        <v>35</v>
      </c>
      <c r="E63" s="18" t="s">
        <v>25</v>
      </c>
      <c r="F63" s="2" t="s">
        <v>145</v>
      </c>
      <c r="G63" s="19">
        <v>46203</v>
      </c>
      <c r="H63" s="2" t="s">
        <v>145</v>
      </c>
      <c r="I63" s="20">
        <v>46209</v>
      </c>
      <c r="J63" s="20">
        <v>46209</v>
      </c>
      <c r="K63" s="2" t="s">
        <v>27</v>
      </c>
      <c r="L63" s="4" t="s">
        <v>42</v>
      </c>
      <c r="M63" s="2">
        <v>2.6</v>
      </c>
      <c r="N63" s="2">
        <v>3.2000000000000001E-2</v>
      </c>
      <c r="O63" s="2">
        <v>5.5</v>
      </c>
      <c r="P63" s="22">
        <v>82</v>
      </c>
      <c r="Q63" s="24">
        <f t="shared" si="9"/>
        <v>1.0449999999999999</v>
      </c>
      <c r="R63" s="23">
        <v>15</v>
      </c>
      <c r="S63" s="18">
        <v>160.5</v>
      </c>
      <c r="T63" s="24">
        <f t="shared" si="8"/>
        <v>8.4705882352941178</v>
      </c>
      <c r="U63" s="25">
        <f t="shared" si="0"/>
        <v>9.6000000000000002E-4</v>
      </c>
      <c r="V63" s="18"/>
      <c r="W63" s="24">
        <f>SUM(O63:V63)</f>
        <v>272.51654823529418</v>
      </c>
    </row>
    <row r="64" spans="2:23" x14ac:dyDescent="0.3">
      <c r="B64" s="3" t="s">
        <v>143</v>
      </c>
      <c r="C64" s="2" t="s">
        <v>34</v>
      </c>
      <c r="D64" s="18" t="s">
        <v>35</v>
      </c>
      <c r="E64" s="18" t="s">
        <v>25</v>
      </c>
      <c r="F64" s="2" t="s">
        <v>146</v>
      </c>
      <c r="G64" s="19">
        <v>46203</v>
      </c>
      <c r="H64" s="2" t="s">
        <v>146</v>
      </c>
      <c r="I64" s="20">
        <v>46209</v>
      </c>
      <c r="J64" s="20">
        <v>46209</v>
      </c>
      <c r="K64" s="2" t="s">
        <v>27</v>
      </c>
      <c r="L64" s="2" t="s">
        <v>28</v>
      </c>
      <c r="M64" s="2">
        <v>11.5</v>
      </c>
      <c r="N64" s="2">
        <v>0.107</v>
      </c>
      <c r="O64" s="2">
        <v>18</v>
      </c>
      <c r="P64" s="22">
        <v>55</v>
      </c>
      <c r="Q64" s="24">
        <f t="shared" si="9"/>
        <v>3.42</v>
      </c>
      <c r="R64" s="23">
        <v>15</v>
      </c>
      <c r="S64" s="18"/>
      <c r="T64" s="24">
        <f t="shared" si="8"/>
        <v>8.4705882352941178</v>
      </c>
      <c r="U64" s="25">
        <f t="shared" si="0"/>
        <v>3.2099999999999997E-3</v>
      </c>
      <c r="V64" s="18"/>
      <c r="W64" s="24">
        <f>SUM(O64:V64)</f>
        <v>99.893798235294113</v>
      </c>
    </row>
    <row r="65" spans="2:23" x14ac:dyDescent="0.3">
      <c r="B65" s="2" t="s">
        <v>147</v>
      </c>
      <c r="C65" s="2" t="s">
        <v>34</v>
      </c>
      <c r="D65" s="18" t="s">
        <v>35</v>
      </c>
      <c r="E65" s="18" t="s">
        <v>25</v>
      </c>
      <c r="F65" s="2" t="s">
        <v>148</v>
      </c>
      <c r="G65" s="19">
        <v>46203</v>
      </c>
      <c r="H65" s="2" t="s">
        <v>148</v>
      </c>
      <c r="I65" s="20">
        <v>46206</v>
      </c>
      <c r="J65" s="20">
        <v>46206</v>
      </c>
      <c r="K65" s="2" t="s">
        <v>27</v>
      </c>
      <c r="L65" s="2" t="s">
        <v>28</v>
      </c>
      <c r="M65" s="2">
        <v>4.2</v>
      </c>
      <c r="N65" s="2">
        <v>4.1000000000000002E-2</v>
      </c>
      <c r="O65" s="2">
        <v>7</v>
      </c>
      <c r="P65" s="22">
        <v>55</v>
      </c>
      <c r="Q65" s="24">
        <f t="shared" si="9"/>
        <v>1.33</v>
      </c>
      <c r="R65" s="23">
        <v>15</v>
      </c>
      <c r="S65" s="18"/>
      <c r="T65" s="24">
        <f t="shared" si="8"/>
        <v>8.4705882352941178</v>
      </c>
      <c r="U65" s="25">
        <f t="shared" si="0"/>
        <v>1.23E-3</v>
      </c>
      <c r="V65" s="18"/>
      <c r="W65" s="24">
        <f>SUM(O65:V65)</f>
        <v>86.801818235294121</v>
      </c>
    </row>
    <row r="66" spans="2:23" x14ac:dyDescent="0.3">
      <c r="B66" s="3" t="s">
        <v>143</v>
      </c>
      <c r="C66" s="2" t="s">
        <v>34</v>
      </c>
      <c r="D66" s="18" t="s">
        <v>35</v>
      </c>
      <c r="E66" s="18" t="s">
        <v>25</v>
      </c>
      <c r="F66" s="2" t="s">
        <v>149</v>
      </c>
      <c r="G66" s="19">
        <v>46203</v>
      </c>
      <c r="H66" s="2" t="s">
        <v>149</v>
      </c>
      <c r="I66" s="20">
        <v>46209</v>
      </c>
      <c r="J66" s="20">
        <v>46209</v>
      </c>
      <c r="K66" s="2" t="s">
        <v>27</v>
      </c>
      <c r="L66" s="2" t="s">
        <v>28</v>
      </c>
      <c r="M66" s="2">
        <v>18.95</v>
      </c>
      <c r="N66" s="2">
        <v>0.35599999999999998</v>
      </c>
      <c r="O66" s="2">
        <v>59.5</v>
      </c>
      <c r="P66" s="22">
        <v>55</v>
      </c>
      <c r="Q66" s="24">
        <f>0.19*O66</f>
        <v>11.305</v>
      </c>
      <c r="R66" s="23">
        <v>15</v>
      </c>
      <c r="S66" s="18"/>
      <c r="T66" s="24">
        <f t="shared" si="8"/>
        <v>8.4705882352941178</v>
      </c>
      <c r="U66" s="25">
        <f t="shared" si="0"/>
        <v>1.0679999999999999E-2</v>
      </c>
      <c r="V66" s="18"/>
      <c r="W66" s="24">
        <f>SUM(O66:V66)</f>
        <v>149.28626823529413</v>
      </c>
    </row>
    <row r="67" spans="2:23" x14ac:dyDescent="0.3">
      <c r="B67" s="2" t="s">
        <v>150</v>
      </c>
      <c r="C67" s="2" t="s">
        <v>30</v>
      </c>
      <c r="D67" s="18" t="s">
        <v>45</v>
      </c>
      <c r="E67" s="18" t="s">
        <v>25</v>
      </c>
      <c r="F67" s="2" t="s">
        <v>151</v>
      </c>
      <c r="G67" s="5">
        <v>46204</v>
      </c>
      <c r="H67" s="2" t="s">
        <v>151</v>
      </c>
      <c r="I67" s="20">
        <v>46206</v>
      </c>
      <c r="J67" s="20">
        <v>46206</v>
      </c>
      <c r="K67" s="2" t="s">
        <v>27</v>
      </c>
      <c r="L67" s="2" t="s">
        <v>28</v>
      </c>
      <c r="M67" s="2">
        <v>11.45</v>
      </c>
      <c r="N67" s="2">
        <v>0.13</v>
      </c>
      <c r="O67" s="2">
        <v>22</v>
      </c>
      <c r="P67" s="22">
        <v>86</v>
      </c>
      <c r="Q67" s="24">
        <f>O67*0.2</f>
        <v>4.4000000000000004</v>
      </c>
      <c r="R67" s="23">
        <v>15</v>
      </c>
      <c r="S67" s="18"/>
      <c r="T67" s="24">
        <f t="shared" ref="T67:T71" si="10">225/7</f>
        <v>32.142857142857146</v>
      </c>
      <c r="U67" s="25">
        <f t="shared" ref="U67:U84" si="11">0.03*N67</f>
        <v>3.8999999999999998E-3</v>
      </c>
      <c r="V67" s="18"/>
      <c r="W67" s="24">
        <f>SUM(O67:V67)</f>
        <v>159.54675714285713</v>
      </c>
    </row>
    <row r="68" spans="2:23" x14ac:dyDescent="0.3">
      <c r="B68" s="3" t="s">
        <v>152</v>
      </c>
      <c r="C68" s="2" t="s">
        <v>50</v>
      </c>
      <c r="D68" s="18" t="s">
        <v>45</v>
      </c>
      <c r="E68" s="18" t="s">
        <v>46</v>
      </c>
      <c r="F68" s="2" t="s">
        <v>153</v>
      </c>
      <c r="G68" s="5">
        <v>46204</v>
      </c>
      <c r="H68" s="2" t="s">
        <v>153</v>
      </c>
      <c r="I68" s="20">
        <v>46207</v>
      </c>
      <c r="J68" s="20">
        <v>46207</v>
      </c>
      <c r="K68" s="2" t="s">
        <v>27</v>
      </c>
      <c r="L68" s="2" t="s">
        <v>28</v>
      </c>
      <c r="M68" s="2">
        <v>44.3</v>
      </c>
      <c r="N68" s="2">
        <v>0.56200000000000006</v>
      </c>
      <c r="O68" s="2">
        <v>100.5</v>
      </c>
      <c r="P68" s="22">
        <f>O68*2.34</f>
        <v>235.17</v>
      </c>
      <c r="Q68" s="24">
        <f>O68*0.3</f>
        <v>30.15</v>
      </c>
      <c r="R68" s="23">
        <v>15</v>
      </c>
      <c r="S68" s="18"/>
      <c r="T68" s="24">
        <f t="shared" si="10"/>
        <v>32.142857142857146</v>
      </c>
      <c r="U68" s="25">
        <f t="shared" si="11"/>
        <v>1.686E-2</v>
      </c>
      <c r="V68" s="18"/>
      <c r="W68" s="24">
        <f>SUM(O68:V68)</f>
        <v>412.97971714285711</v>
      </c>
    </row>
    <row r="69" spans="2:23" x14ac:dyDescent="0.3">
      <c r="B69" s="2" t="s">
        <v>154</v>
      </c>
      <c r="C69" s="2" t="s">
        <v>44</v>
      </c>
      <c r="D69" s="18" t="s">
        <v>45</v>
      </c>
      <c r="E69" s="18" t="s">
        <v>46</v>
      </c>
      <c r="F69" s="2" t="s">
        <v>155</v>
      </c>
      <c r="G69" s="5">
        <v>46204</v>
      </c>
      <c r="H69" s="2" t="s">
        <v>155</v>
      </c>
      <c r="I69" s="20">
        <v>46206</v>
      </c>
      <c r="J69" s="20">
        <v>46206</v>
      </c>
      <c r="K69" s="2" t="s">
        <v>27</v>
      </c>
      <c r="L69" s="2" t="s">
        <v>28</v>
      </c>
      <c r="M69" s="2">
        <v>98.35</v>
      </c>
      <c r="N69" s="2">
        <v>1.512</v>
      </c>
      <c r="O69" s="2">
        <v>252</v>
      </c>
      <c r="P69" s="22">
        <f>O69*3.3</f>
        <v>831.59999999999991</v>
      </c>
      <c r="Q69" s="24">
        <f>O69*0.3</f>
        <v>75.599999999999994</v>
      </c>
      <c r="R69" s="23">
        <v>15</v>
      </c>
      <c r="S69" s="18"/>
      <c r="T69" s="24">
        <f t="shared" si="10"/>
        <v>32.142857142857146</v>
      </c>
      <c r="U69" s="25">
        <f t="shared" si="11"/>
        <v>4.5359999999999998E-2</v>
      </c>
      <c r="V69" s="18"/>
      <c r="W69" s="24">
        <f>SUM(O69:V69)</f>
        <v>1206.388217142857</v>
      </c>
    </row>
    <row r="70" spans="2:23" x14ac:dyDescent="0.3">
      <c r="B70" s="3" t="s">
        <v>136</v>
      </c>
      <c r="C70" s="2" t="s">
        <v>44</v>
      </c>
      <c r="D70" s="18" t="s">
        <v>31</v>
      </c>
      <c r="E70" s="18" t="s">
        <v>25</v>
      </c>
      <c r="F70" s="2" t="s">
        <v>156</v>
      </c>
      <c r="G70" s="5">
        <v>46204</v>
      </c>
      <c r="H70" s="2" t="s">
        <v>156</v>
      </c>
      <c r="I70" s="20">
        <v>46206</v>
      </c>
      <c r="J70" s="20">
        <v>46206</v>
      </c>
      <c r="K70" s="2" t="s">
        <v>27</v>
      </c>
      <c r="L70" s="2" t="s">
        <v>28</v>
      </c>
      <c r="M70" s="2">
        <v>98.3</v>
      </c>
      <c r="N70" s="2">
        <v>0.60799999999999998</v>
      </c>
      <c r="O70" s="2">
        <v>101.5</v>
      </c>
      <c r="P70" s="22">
        <f>O70*5.42</f>
        <v>550.13</v>
      </c>
      <c r="Q70" s="24">
        <f>O70*1.5</f>
        <v>152.25</v>
      </c>
      <c r="R70" s="23">
        <v>15</v>
      </c>
      <c r="S70" s="18"/>
      <c r="T70" s="24">
        <f t="shared" si="10"/>
        <v>32.142857142857146</v>
      </c>
      <c r="U70" s="25">
        <f t="shared" si="11"/>
        <v>1.8239999999999999E-2</v>
      </c>
      <c r="V70" s="18"/>
      <c r="W70" s="24">
        <f>SUM(O70:V70)</f>
        <v>851.0410971428571</v>
      </c>
    </row>
    <row r="71" spans="2:23" x14ac:dyDescent="0.3">
      <c r="B71" s="2" t="s">
        <v>157</v>
      </c>
      <c r="C71" s="2" t="s">
        <v>65</v>
      </c>
      <c r="D71" s="18" t="s">
        <v>35</v>
      </c>
      <c r="E71" s="18" t="s">
        <v>66</v>
      </c>
      <c r="F71" s="2" t="s">
        <v>158</v>
      </c>
      <c r="G71" s="5">
        <v>46204</v>
      </c>
      <c r="H71" s="2" t="s">
        <v>158</v>
      </c>
      <c r="I71" s="20">
        <v>46208</v>
      </c>
      <c r="J71" s="20">
        <v>46208</v>
      </c>
      <c r="K71" s="2" t="s">
        <v>27</v>
      </c>
      <c r="L71" s="4" t="s">
        <v>42</v>
      </c>
      <c r="M71" s="2">
        <v>7.2</v>
      </c>
      <c r="N71" s="2">
        <v>0.06</v>
      </c>
      <c r="O71" s="2">
        <v>10</v>
      </c>
      <c r="P71" s="22">
        <v>86</v>
      </c>
      <c r="Q71" s="24">
        <f>O71*0.4</f>
        <v>4</v>
      </c>
      <c r="R71" s="23">
        <v>15</v>
      </c>
      <c r="S71" s="18">
        <v>160.5</v>
      </c>
      <c r="T71" s="24">
        <f t="shared" si="10"/>
        <v>32.142857142857146</v>
      </c>
      <c r="U71" s="25">
        <f t="shared" si="11"/>
        <v>1.8E-3</v>
      </c>
      <c r="V71" s="18"/>
      <c r="W71" s="24">
        <f>SUM(O71:V71)</f>
        <v>307.64465714285717</v>
      </c>
    </row>
    <row r="72" spans="2:23" x14ac:dyDescent="0.3">
      <c r="B72" s="2" t="s">
        <v>159</v>
      </c>
      <c r="C72" s="2" t="s">
        <v>23</v>
      </c>
      <c r="D72" s="18" t="s">
        <v>31</v>
      </c>
      <c r="E72" s="18" t="s">
        <v>25</v>
      </c>
      <c r="F72" s="2" t="s">
        <v>160</v>
      </c>
      <c r="G72" s="5">
        <v>46204</v>
      </c>
      <c r="H72" s="2" t="s">
        <v>160</v>
      </c>
      <c r="I72" s="20">
        <v>46208</v>
      </c>
      <c r="J72" s="20">
        <v>46208</v>
      </c>
      <c r="K72" s="2" t="s">
        <v>27</v>
      </c>
      <c r="L72" s="2" t="s">
        <v>28</v>
      </c>
      <c r="M72" s="2">
        <v>215.85</v>
      </c>
      <c r="N72" s="2">
        <v>2.8570000000000002</v>
      </c>
      <c r="O72" s="2">
        <v>476.5</v>
      </c>
      <c r="P72" s="22">
        <f>O72*4.37</f>
        <v>2082.3049999999998</v>
      </c>
      <c r="Q72" s="24">
        <f>O72*1.5</f>
        <v>714.75</v>
      </c>
      <c r="R72" s="23">
        <v>15</v>
      </c>
      <c r="S72" s="18"/>
      <c r="T72" s="24">
        <f>225/7</f>
        <v>32.142857142857146</v>
      </c>
      <c r="U72" s="25">
        <f t="shared" si="11"/>
        <v>8.5710000000000008E-2</v>
      </c>
      <c r="V72" s="18"/>
      <c r="W72" s="24">
        <f>SUM(O72:V72)</f>
        <v>3320.783567142857</v>
      </c>
    </row>
    <row r="73" spans="2:23" x14ac:dyDescent="0.3">
      <c r="B73" s="3" t="s">
        <v>161</v>
      </c>
      <c r="C73" s="2" t="s">
        <v>69</v>
      </c>
      <c r="D73" s="18" t="s">
        <v>35</v>
      </c>
      <c r="E73" s="18" t="s">
        <v>25</v>
      </c>
      <c r="F73" s="2" t="s">
        <v>162</v>
      </c>
      <c r="G73" s="5">
        <v>46205</v>
      </c>
      <c r="H73" s="2" t="s">
        <v>162</v>
      </c>
      <c r="I73" s="20">
        <v>46208</v>
      </c>
      <c r="J73" s="20">
        <v>46208</v>
      </c>
      <c r="K73" s="2" t="s">
        <v>27</v>
      </c>
      <c r="L73" s="2" t="s">
        <v>28</v>
      </c>
      <c r="M73" s="2">
        <v>316.85000000000002</v>
      </c>
      <c r="N73" s="2">
        <v>4.2380000000000004</v>
      </c>
      <c r="O73" s="2">
        <v>706.5</v>
      </c>
      <c r="P73" s="22">
        <f>O73*1.3</f>
        <v>918.45</v>
      </c>
      <c r="Q73" s="24">
        <f>O73*0.2</f>
        <v>141.30000000000001</v>
      </c>
      <c r="R73" s="23">
        <v>15</v>
      </c>
      <c r="S73" s="18"/>
      <c r="T73" s="18">
        <f t="shared" ref="T73:T76" si="12">144/5</f>
        <v>28.8</v>
      </c>
      <c r="U73" s="25">
        <f t="shared" si="11"/>
        <v>0.12714</v>
      </c>
      <c r="V73" s="18"/>
      <c r="W73" s="24">
        <f>SUM(O73:V73)</f>
        <v>1810.17714</v>
      </c>
    </row>
    <row r="74" spans="2:23" x14ac:dyDescent="0.3">
      <c r="B74" s="2" t="s">
        <v>163</v>
      </c>
      <c r="C74" s="2" t="s">
        <v>30</v>
      </c>
      <c r="D74" s="18" t="s">
        <v>45</v>
      </c>
      <c r="E74" s="18" t="s">
        <v>25</v>
      </c>
      <c r="F74" s="2" t="s">
        <v>164</v>
      </c>
      <c r="G74" s="5">
        <v>46205</v>
      </c>
      <c r="H74" s="2" t="s">
        <v>164</v>
      </c>
      <c r="I74" s="20">
        <v>46208</v>
      </c>
      <c r="J74" s="20">
        <v>46208</v>
      </c>
      <c r="K74" s="2" t="s">
        <v>27</v>
      </c>
      <c r="L74" s="2" t="s">
        <v>28</v>
      </c>
      <c r="M74" s="2">
        <v>26.5</v>
      </c>
      <c r="N74" s="2">
        <v>0.29099999999999998</v>
      </c>
      <c r="O74" s="2">
        <v>48.5</v>
      </c>
      <c r="P74" s="22">
        <f>O74*1.88</f>
        <v>91.179999999999993</v>
      </c>
      <c r="Q74" s="24">
        <f>O74*0.2</f>
        <v>9.7000000000000011</v>
      </c>
      <c r="R74" s="23">
        <v>15</v>
      </c>
      <c r="S74" s="18"/>
      <c r="T74" s="18">
        <f t="shared" si="12"/>
        <v>28.8</v>
      </c>
      <c r="U74" s="25">
        <f t="shared" si="11"/>
        <v>8.7299999999999999E-3</v>
      </c>
      <c r="V74" s="18"/>
      <c r="W74" s="24">
        <f>SUM(O74:V74)</f>
        <v>193.18873000000002</v>
      </c>
    </row>
    <row r="75" spans="2:23" x14ac:dyDescent="0.3">
      <c r="B75" s="3" t="s">
        <v>152</v>
      </c>
      <c r="C75" s="2" t="s">
        <v>50</v>
      </c>
      <c r="D75" s="18" t="s">
        <v>45</v>
      </c>
      <c r="E75" s="18" t="s">
        <v>46</v>
      </c>
      <c r="F75" s="2" t="s">
        <v>165</v>
      </c>
      <c r="G75" s="5">
        <v>46205</v>
      </c>
      <c r="H75" s="2" t="s">
        <v>165</v>
      </c>
      <c r="I75" s="20">
        <v>46207</v>
      </c>
      <c r="J75" s="20">
        <v>46207</v>
      </c>
      <c r="K75" s="2" t="s">
        <v>27</v>
      </c>
      <c r="L75" s="2" t="s">
        <v>28</v>
      </c>
      <c r="M75" s="2">
        <v>11.5</v>
      </c>
      <c r="N75" s="2">
        <v>0.16</v>
      </c>
      <c r="O75" s="2">
        <v>27.5</v>
      </c>
      <c r="P75" s="22">
        <v>86</v>
      </c>
      <c r="Q75" s="24">
        <f>O75*0.3</f>
        <v>8.25</v>
      </c>
      <c r="R75" s="23">
        <v>15</v>
      </c>
      <c r="S75" s="18"/>
      <c r="T75" s="18">
        <f t="shared" si="12"/>
        <v>28.8</v>
      </c>
      <c r="U75" s="25">
        <f t="shared" si="11"/>
        <v>4.7999999999999996E-3</v>
      </c>
      <c r="V75" s="18"/>
      <c r="W75" s="24">
        <f>SUM(O75:V75)</f>
        <v>165.5548</v>
      </c>
    </row>
    <row r="76" spans="2:23" x14ac:dyDescent="0.3">
      <c r="B76" s="3" t="s">
        <v>166</v>
      </c>
      <c r="C76" s="2" t="s">
        <v>44</v>
      </c>
      <c r="D76" s="18" t="s">
        <v>45</v>
      </c>
      <c r="E76" s="18" t="s">
        <v>46</v>
      </c>
      <c r="F76" s="2" t="s">
        <v>167</v>
      </c>
      <c r="G76" s="5">
        <v>46205</v>
      </c>
      <c r="H76" s="2" t="s">
        <v>167</v>
      </c>
      <c r="I76" s="20">
        <v>46207</v>
      </c>
      <c r="J76" s="20">
        <v>46207</v>
      </c>
      <c r="K76" s="2" t="s">
        <v>27</v>
      </c>
      <c r="L76" s="2" t="s">
        <v>28</v>
      </c>
      <c r="M76" s="2">
        <v>23.75</v>
      </c>
      <c r="N76" s="2">
        <v>0.246</v>
      </c>
      <c r="O76" s="2">
        <v>41</v>
      </c>
      <c r="P76" s="22">
        <f>O76*3.64</f>
        <v>149.24</v>
      </c>
      <c r="Q76" s="24">
        <f>O76*0.3</f>
        <v>12.299999999999999</v>
      </c>
      <c r="R76" s="23">
        <v>15</v>
      </c>
      <c r="S76" s="18"/>
      <c r="T76" s="18">
        <f t="shared" si="12"/>
        <v>28.8</v>
      </c>
      <c r="U76" s="25">
        <f t="shared" si="11"/>
        <v>7.3799999999999994E-3</v>
      </c>
      <c r="V76" s="18"/>
      <c r="W76" s="24">
        <f>SUM(O76:V76)</f>
        <v>246.34738000000004</v>
      </c>
    </row>
    <row r="77" spans="2:23" x14ac:dyDescent="0.3">
      <c r="B77" s="3" t="s">
        <v>166</v>
      </c>
      <c r="C77" s="2" t="s">
        <v>44</v>
      </c>
      <c r="D77" s="18" t="s">
        <v>45</v>
      </c>
      <c r="E77" s="18" t="s">
        <v>46</v>
      </c>
      <c r="F77" s="2" t="s">
        <v>168</v>
      </c>
      <c r="G77" s="5">
        <v>46205</v>
      </c>
      <c r="H77" s="2" t="s">
        <v>168</v>
      </c>
      <c r="I77" s="20">
        <v>46207</v>
      </c>
      <c r="J77" s="20">
        <v>46207</v>
      </c>
      <c r="K77" s="2" t="s">
        <v>27</v>
      </c>
      <c r="L77" s="2" t="s">
        <v>28</v>
      </c>
      <c r="M77" s="2">
        <v>1.5</v>
      </c>
      <c r="N77" s="2">
        <v>2.7E-2</v>
      </c>
      <c r="O77" s="2">
        <v>4.5</v>
      </c>
      <c r="P77" s="22">
        <f>O77*3.64</f>
        <v>16.38</v>
      </c>
      <c r="Q77" s="24">
        <f>O77*0.3</f>
        <v>1.3499999999999999</v>
      </c>
      <c r="R77" s="23">
        <v>15</v>
      </c>
      <c r="S77" s="18"/>
      <c r="T77" s="18">
        <f>144/5</f>
        <v>28.8</v>
      </c>
      <c r="U77" s="25">
        <f t="shared" si="11"/>
        <v>8.0999999999999996E-4</v>
      </c>
      <c r="V77" s="18"/>
      <c r="W77" s="24">
        <f>SUM(O77:V77)</f>
        <v>66.030810000000002</v>
      </c>
    </row>
    <row r="78" spans="2:23" x14ac:dyDescent="0.3">
      <c r="B78" s="3" t="s">
        <v>161</v>
      </c>
      <c r="C78" s="2" t="s">
        <v>69</v>
      </c>
      <c r="D78" s="18" t="s">
        <v>35</v>
      </c>
      <c r="E78" s="18" t="s">
        <v>25</v>
      </c>
      <c r="F78" s="2" t="s">
        <v>169</v>
      </c>
      <c r="G78" s="19">
        <v>46206</v>
      </c>
      <c r="H78" s="2" t="s">
        <v>169</v>
      </c>
      <c r="I78" s="20">
        <v>46208</v>
      </c>
      <c r="J78" s="20">
        <v>46208</v>
      </c>
      <c r="K78" s="2" t="s">
        <v>27</v>
      </c>
      <c r="L78" s="2" t="s">
        <v>28</v>
      </c>
      <c r="M78" s="2">
        <v>414.7</v>
      </c>
      <c r="N78" s="2">
        <v>3.3210000000000002</v>
      </c>
      <c r="O78" s="2">
        <v>533.5</v>
      </c>
      <c r="P78" s="22">
        <f>O78*1.3</f>
        <v>693.55000000000007</v>
      </c>
      <c r="Q78" s="24">
        <f>O78*0.2</f>
        <v>106.7</v>
      </c>
      <c r="R78" s="23">
        <v>15</v>
      </c>
      <c r="S78" s="18"/>
      <c r="T78" s="24">
        <f t="shared" ref="T78:T83" si="13">144/7</f>
        <v>20.571428571428573</v>
      </c>
      <c r="U78" s="25">
        <f t="shared" si="11"/>
        <v>9.9629999999999996E-2</v>
      </c>
      <c r="V78" s="18"/>
      <c r="W78" s="24">
        <f>SUM(O78:V78)</f>
        <v>1369.4210585714288</v>
      </c>
    </row>
    <row r="79" spans="2:23" x14ac:dyDescent="0.3">
      <c r="B79" s="3" t="s">
        <v>161</v>
      </c>
      <c r="C79" s="2" t="s">
        <v>69</v>
      </c>
      <c r="D79" s="18" t="s">
        <v>35</v>
      </c>
      <c r="E79" s="18" t="s">
        <v>25</v>
      </c>
      <c r="F79" s="2" t="s">
        <v>170</v>
      </c>
      <c r="G79" s="19">
        <v>46206</v>
      </c>
      <c r="H79" s="2" t="s">
        <v>170</v>
      </c>
      <c r="I79" s="20">
        <v>46208</v>
      </c>
      <c r="J79" s="20">
        <v>46208</v>
      </c>
      <c r="K79" s="2" t="s">
        <v>27</v>
      </c>
      <c r="L79" s="2" t="s">
        <v>28</v>
      </c>
      <c r="M79" s="2">
        <v>10.3</v>
      </c>
      <c r="N79" s="2">
        <v>0.08</v>
      </c>
      <c r="O79" s="2">
        <v>13.5</v>
      </c>
      <c r="P79" s="22">
        <v>86</v>
      </c>
      <c r="Q79" s="24">
        <f>O79*0.2</f>
        <v>2.7</v>
      </c>
      <c r="R79" s="23">
        <v>15</v>
      </c>
      <c r="S79" s="18"/>
      <c r="T79" s="24">
        <f t="shared" si="13"/>
        <v>20.571428571428573</v>
      </c>
      <c r="U79" s="25">
        <f t="shared" si="11"/>
        <v>2.3999999999999998E-3</v>
      </c>
      <c r="V79" s="18"/>
      <c r="W79" s="24">
        <f>SUM(O79:V79)</f>
        <v>137.77382857142857</v>
      </c>
    </row>
    <row r="80" spans="2:23" x14ac:dyDescent="0.3">
      <c r="B80" s="3" t="s">
        <v>152</v>
      </c>
      <c r="C80" s="2" t="s">
        <v>50</v>
      </c>
      <c r="D80" s="18" t="s">
        <v>45</v>
      </c>
      <c r="E80" s="18" t="s">
        <v>46</v>
      </c>
      <c r="F80" s="2" t="s">
        <v>171</v>
      </c>
      <c r="G80" s="19">
        <v>46206</v>
      </c>
      <c r="H80" s="2" t="s">
        <v>171</v>
      </c>
      <c r="I80" s="20">
        <v>46207</v>
      </c>
      <c r="J80" s="20">
        <v>46207</v>
      </c>
      <c r="K80" s="2" t="s">
        <v>27</v>
      </c>
      <c r="L80" s="2" t="s">
        <v>28</v>
      </c>
      <c r="M80" s="2">
        <v>4.55</v>
      </c>
      <c r="N80" s="2">
        <v>7.1999999999999995E-2</v>
      </c>
      <c r="O80" s="2">
        <v>12</v>
      </c>
      <c r="P80" s="22">
        <v>86</v>
      </c>
      <c r="Q80" s="24">
        <f>O80*0.3</f>
        <v>3.5999999999999996</v>
      </c>
      <c r="R80" s="23">
        <v>15</v>
      </c>
      <c r="S80" s="18"/>
      <c r="T80" s="24">
        <f t="shared" si="13"/>
        <v>20.571428571428573</v>
      </c>
      <c r="U80" s="25">
        <f t="shared" si="11"/>
        <v>2.1599999999999996E-3</v>
      </c>
      <c r="V80" s="18"/>
      <c r="W80" s="24">
        <f>SUM(O80:V80)</f>
        <v>137.17358857142858</v>
      </c>
    </row>
    <row r="81" spans="2:23" x14ac:dyDescent="0.3">
      <c r="B81" s="2" t="s">
        <v>172</v>
      </c>
      <c r="C81" s="2" t="s">
        <v>44</v>
      </c>
      <c r="D81" s="18" t="s">
        <v>45</v>
      </c>
      <c r="E81" s="18" t="s">
        <v>46</v>
      </c>
      <c r="F81" s="2" t="s">
        <v>173</v>
      </c>
      <c r="G81" s="19">
        <v>46206</v>
      </c>
      <c r="H81" s="2" t="s">
        <v>173</v>
      </c>
      <c r="I81" s="20">
        <v>46207</v>
      </c>
      <c r="J81" s="20">
        <v>46207</v>
      </c>
      <c r="K81" s="2" t="s">
        <v>27</v>
      </c>
      <c r="L81" s="2" t="s">
        <v>28</v>
      </c>
      <c r="M81" s="2">
        <v>96.65</v>
      </c>
      <c r="N81" s="2">
        <v>1.3280000000000001</v>
      </c>
      <c r="O81" s="2">
        <v>222</v>
      </c>
      <c r="P81" s="22">
        <f>O81*3.3</f>
        <v>732.59999999999991</v>
      </c>
      <c r="Q81" s="24">
        <f>O81*0.3</f>
        <v>66.599999999999994</v>
      </c>
      <c r="R81" s="23">
        <v>15</v>
      </c>
      <c r="S81" s="18"/>
      <c r="T81" s="24">
        <f t="shared" si="13"/>
        <v>20.571428571428573</v>
      </c>
      <c r="U81" s="25">
        <f t="shared" si="11"/>
        <v>3.984E-2</v>
      </c>
      <c r="V81" s="18"/>
      <c r="W81" s="24">
        <f>SUM(O81:V81)</f>
        <v>1056.8112685714284</v>
      </c>
    </row>
    <row r="82" spans="2:23" x14ac:dyDescent="0.3">
      <c r="B82" s="2" t="s">
        <v>174</v>
      </c>
      <c r="C82" s="2" t="s">
        <v>34</v>
      </c>
      <c r="D82" s="18" t="s">
        <v>35</v>
      </c>
      <c r="E82" s="18" t="s">
        <v>25</v>
      </c>
      <c r="F82" s="2" t="s">
        <v>175</v>
      </c>
      <c r="G82" s="19">
        <v>46206</v>
      </c>
      <c r="H82" s="2" t="s">
        <v>175</v>
      </c>
      <c r="I82" s="20">
        <v>46208</v>
      </c>
      <c r="J82" s="20">
        <v>46208</v>
      </c>
      <c r="K82" s="2" t="s">
        <v>27</v>
      </c>
      <c r="L82" s="2" t="s">
        <v>28</v>
      </c>
      <c r="M82" s="2">
        <v>0.75</v>
      </c>
      <c r="N82" s="2">
        <v>1.2999999999999999E-2</v>
      </c>
      <c r="O82" s="2">
        <v>2.5</v>
      </c>
      <c r="P82" s="22">
        <v>55</v>
      </c>
      <c r="Q82" s="24">
        <f>0.19*O82</f>
        <v>0.47499999999999998</v>
      </c>
      <c r="R82" s="23">
        <v>15</v>
      </c>
      <c r="S82" s="18"/>
      <c r="T82" s="24">
        <f t="shared" si="13"/>
        <v>20.571428571428573</v>
      </c>
      <c r="U82" s="25">
        <f t="shared" si="11"/>
        <v>3.8999999999999999E-4</v>
      </c>
      <c r="V82" s="18"/>
      <c r="W82" s="24">
        <f>SUM(O82:V82)</f>
        <v>93.54681857142856</v>
      </c>
    </row>
    <row r="83" spans="2:23" x14ac:dyDescent="0.3">
      <c r="B83" s="2" t="s">
        <v>174</v>
      </c>
      <c r="C83" s="2" t="s">
        <v>34</v>
      </c>
      <c r="D83" s="18" t="s">
        <v>35</v>
      </c>
      <c r="E83" s="18" t="s">
        <v>25</v>
      </c>
      <c r="F83" s="2" t="s">
        <v>176</v>
      </c>
      <c r="G83" s="19">
        <v>46206</v>
      </c>
      <c r="H83" s="2" t="s">
        <v>176</v>
      </c>
      <c r="I83" s="20">
        <v>46208</v>
      </c>
      <c r="J83" s="20">
        <v>46208</v>
      </c>
      <c r="K83" s="2" t="s">
        <v>27</v>
      </c>
      <c r="L83" s="2" t="s">
        <v>28</v>
      </c>
      <c r="M83" s="2">
        <v>3.2</v>
      </c>
      <c r="N83" s="2">
        <v>3.5999999999999997E-2</v>
      </c>
      <c r="O83" s="2">
        <v>6</v>
      </c>
      <c r="P83" s="22">
        <v>55</v>
      </c>
      <c r="Q83" s="24">
        <f>0.19*O83</f>
        <v>1.1400000000000001</v>
      </c>
      <c r="R83" s="23">
        <v>15</v>
      </c>
      <c r="S83" s="18"/>
      <c r="T83" s="24">
        <f t="shared" si="13"/>
        <v>20.571428571428573</v>
      </c>
      <c r="U83" s="25">
        <f t="shared" si="11"/>
        <v>1.0799999999999998E-3</v>
      </c>
      <c r="V83" s="18"/>
      <c r="W83" s="24">
        <f>SUM(O83:V83)</f>
        <v>97.712508571428572</v>
      </c>
    </row>
    <row r="84" spans="2:23" x14ac:dyDescent="0.3">
      <c r="B84" s="2" t="s">
        <v>174</v>
      </c>
      <c r="C84" s="2" t="s">
        <v>34</v>
      </c>
      <c r="D84" s="18" t="s">
        <v>35</v>
      </c>
      <c r="E84" s="18" t="s">
        <v>25</v>
      </c>
      <c r="F84" s="2" t="s">
        <v>177</v>
      </c>
      <c r="G84" s="19">
        <v>46206</v>
      </c>
      <c r="H84" s="2" t="s">
        <v>177</v>
      </c>
      <c r="I84" s="20">
        <v>46208</v>
      </c>
      <c r="J84" s="20">
        <v>46208</v>
      </c>
      <c r="K84" s="2" t="s">
        <v>27</v>
      </c>
      <c r="L84" s="4" t="s">
        <v>42</v>
      </c>
      <c r="M84" s="2">
        <v>0.95</v>
      </c>
      <c r="N84" s="2">
        <v>1.6E-2</v>
      </c>
      <c r="O84" s="2">
        <v>3</v>
      </c>
      <c r="P84" s="22">
        <v>82</v>
      </c>
      <c r="Q84" s="24">
        <f>0.19*O84</f>
        <v>0.57000000000000006</v>
      </c>
      <c r="R84" s="23">
        <v>15</v>
      </c>
      <c r="S84" s="18">
        <v>160.5</v>
      </c>
      <c r="T84" s="24">
        <f>144/7</f>
        <v>20.571428571428573</v>
      </c>
      <c r="U84" s="25">
        <f t="shared" si="11"/>
        <v>4.8000000000000001E-4</v>
      </c>
      <c r="V84" s="18"/>
      <c r="W84" s="24">
        <f>SUM(O84:V84)</f>
        <v>281.64190857142853</v>
      </c>
    </row>
  </sheetData>
  <autoFilter ref="B2:W84" xr:uid="{3E17F893-8763-486B-961E-3430CC74883A}"/>
  <conditionalFormatting sqref="B2:C2">
    <cfRule type="duplicateValues" dxfId="20" priority="16"/>
    <cfRule type="duplicateValues" dxfId="19" priority="17"/>
  </conditionalFormatting>
  <conditionalFormatting sqref="F2">
    <cfRule type="duplicateValues" dxfId="18" priority="19"/>
    <cfRule type="duplicateValues" dxfId="17" priority="20"/>
  </conditionalFormatting>
  <conditionalFormatting sqref="H4 H2">
    <cfRule type="duplicateValues" dxfId="16" priority="21"/>
  </conditionalFormatting>
  <conditionalFormatting sqref="J2">
    <cfRule type="duplicateValues" dxfId="15" priority="18"/>
  </conditionalFormatting>
  <conditionalFormatting sqref="W2">
    <cfRule type="duplicateValues" dxfId="14" priority="15"/>
  </conditionalFormatting>
  <conditionalFormatting sqref="B3">
    <cfRule type="duplicateValues" dxfId="13" priority="12"/>
  </conditionalFormatting>
  <conditionalFormatting sqref="F3">
    <cfRule type="duplicateValues" dxfId="12" priority="14"/>
  </conditionalFormatting>
  <conditionalFormatting sqref="H3">
    <cfRule type="duplicateValues" dxfId="11" priority="13"/>
  </conditionalFormatting>
  <conditionalFormatting sqref="B4">
    <cfRule type="duplicateValues" dxfId="10" priority="11"/>
  </conditionalFormatting>
  <conditionalFormatting sqref="B5:B20">
    <cfRule type="duplicateValues" dxfId="9" priority="8"/>
  </conditionalFormatting>
  <conditionalFormatting sqref="B21:B29">
    <cfRule type="duplicateValues" dxfId="8" priority="5"/>
  </conditionalFormatting>
  <conditionalFormatting sqref="F5:F20">
    <cfRule type="duplicateValues" dxfId="7" priority="10"/>
  </conditionalFormatting>
  <conditionalFormatting sqref="F21:F39">
    <cfRule type="duplicateValues" dxfId="6" priority="7"/>
  </conditionalFormatting>
  <conditionalFormatting sqref="H5:H20">
    <cfRule type="duplicateValues" dxfId="5" priority="9"/>
  </conditionalFormatting>
  <conditionalFormatting sqref="H21:H39">
    <cfRule type="duplicateValues" dxfId="4" priority="6"/>
  </conditionalFormatting>
  <conditionalFormatting sqref="B30:B39">
    <cfRule type="duplicateValues" dxfId="3" priority="4"/>
  </conditionalFormatting>
  <conditionalFormatting sqref="B40:B46">
    <cfRule type="duplicateValues" dxfId="2" priority="1"/>
  </conditionalFormatting>
  <conditionalFormatting sqref="F40:F46">
    <cfRule type="duplicateValues" dxfId="1" priority="3"/>
  </conditionalFormatting>
  <conditionalFormatting sqref="H40:H46"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Morales (DHL PA)</dc:creator>
  <cp:lastModifiedBy>Marissa Morales (DHL PA)</cp:lastModifiedBy>
  <dcterms:created xsi:type="dcterms:W3CDTF">2026-07-08T17:26:58Z</dcterms:created>
  <dcterms:modified xsi:type="dcterms:W3CDTF">2026-07-08T17:36:18Z</dcterms:modified>
</cp:coreProperties>
</file>